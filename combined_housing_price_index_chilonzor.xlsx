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ortiqov\Desktop\Cerr_old\Cerr\Regular\уй_жой\hedonic_price\"/>
    </mc:Choice>
  </mc:AlternateContent>
  <xr:revisionPtr revIDLastSave="0" documentId="13_ncr:1_{0A7DD499-1E7D-4FFC-929B-D80D9CC9BCA7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6" i="1" l="1"/>
  <c r="I36" i="1"/>
  <c r="H6" i="1"/>
  <c r="H7" i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5" i="1"/>
  <c r="H4" i="1"/>
</calcChain>
</file>

<file path=xl/sharedStrings.xml><?xml version="1.0" encoding="utf-8"?>
<sst xmlns="http://schemas.openxmlformats.org/spreadsheetml/2006/main" count="7" uniqueCount="7">
  <si>
    <t>YearMonth</t>
  </si>
  <si>
    <t>secondary_index</t>
  </si>
  <si>
    <t>secondary_growth</t>
  </si>
  <si>
    <t>new_index</t>
  </si>
  <si>
    <t>new_growth</t>
  </si>
  <si>
    <t>combined_index</t>
  </si>
  <si>
    <t>combined_growth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</si>
</sst>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13" workbookViewId="0">
      <selection activeCell="E10" sqref="E10"/>
    </sheetView>
  </sheetViews>
  <sheetFormatPr defaultRowHeight="15" x14ac:dyDescent="0.25"/>
  <cols>
    <col min="2" max="2" width="17.140625" customWidth="1"/>
    <col min="3" max="3" width="18.5703125" customWidth="1"/>
    <col min="4" max="4" width="28.5703125" customWidth="1"/>
    <col min="5" max="5" width="15.5703125" customWidth="1"/>
    <col min="6" max="6" width="17.285156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>
        <v>2022</v>
      </c>
      <c r="B2">
        <v>90.081958643089749</v>
      </c>
      <c r="D2">
        <v>90.556695369014236</v>
      </c>
      <c r="F2">
        <v>90.319327006051992</v>
      </c>
    </row>
    <row r="3" spans="1:8" x14ac:dyDescent="0.25">
      <c r="A3">
        <v>2022.083333333333</v>
      </c>
      <c r="B3">
        <v>91.54990549763329</v>
      </c>
      <c r="C3">
        <v>1.62956809183028</v>
      </c>
      <c r="D3">
        <v>91.475664707408626</v>
      </c>
      <c r="E3">
        <v>1.014799993142024</v>
      </c>
      <c r="F3">
        <v>91.512785102520951</v>
      </c>
      <c r="G3">
        <v>1.3213762059907539</v>
      </c>
    </row>
    <row r="4" spans="1:8" x14ac:dyDescent="0.25">
      <c r="A4">
        <v>2022.166666666667</v>
      </c>
      <c r="B4">
        <v>93.645192916105287</v>
      </c>
      <c r="C4">
        <v>2.2886833220446818</v>
      </c>
      <c r="D4">
        <v>107.28914442519471</v>
      </c>
      <c r="E4">
        <v>17.287089160124289</v>
      </c>
      <c r="F4">
        <v>100.46716867065</v>
      </c>
      <c r="G4">
        <v>9.7848443341523641</v>
      </c>
      <c r="H4">
        <f>+(1+G3/100)*(1+G4/100)</f>
        <v>1.1123551514496783</v>
      </c>
    </row>
    <row r="5" spans="1:8" x14ac:dyDescent="0.25">
      <c r="A5">
        <v>2022.25</v>
      </c>
      <c r="B5">
        <v>93.247497514401758</v>
      </c>
      <c r="C5">
        <v>-0.42468319976639579</v>
      </c>
      <c r="D5">
        <v>97.510619793259991</v>
      </c>
      <c r="E5">
        <v>-9.1141789640727389</v>
      </c>
      <c r="F5">
        <v>95.379058653830867</v>
      </c>
      <c r="G5">
        <v>-5.0644504907855996</v>
      </c>
      <c r="H5">
        <f>+H4*(1+G5/100)</f>
        <v>1.0560204755228062</v>
      </c>
    </row>
    <row r="6" spans="1:8" x14ac:dyDescent="0.25">
      <c r="A6">
        <v>2022.416666666667</v>
      </c>
      <c r="B6">
        <v>95.063581225298194</v>
      </c>
      <c r="C6">
        <v>1.947595119768164</v>
      </c>
      <c r="D6">
        <v>98.834874673795326</v>
      </c>
      <c r="E6">
        <v>1.358062212447209</v>
      </c>
      <c r="F6">
        <v>96.949227949546753</v>
      </c>
      <c r="G6">
        <v>1.6462411328829201</v>
      </c>
      <c r="H6">
        <f t="shared" ref="H6:H35" si="0">+H5*(1+G6/100)</f>
        <v>1.0734051189625284</v>
      </c>
    </row>
    <row r="7" spans="1:8" x14ac:dyDescent="0.25">
      <c r="A7">
        <v>2022.5</v>
      </c>
      <c r="B7">
        <v>98.805406792923179</v>
      </c>
      <c r="C7">
        <v>3.9361293982360661</v>
      </c>
      <c r="D7">
        <v>96.628363483642218</v>
      </c>
      <c r="E7">
        <v>-2.2325228796370782</v>
      </c>
      <c r="F7">
        <v>97.716885138282692</v>
      </c>
      <c r="G7">
        <v>0.79181361726308186</v>
      </c>
      <c r="H7">
        <f t="shared" si="0"/>
        <v>1.0819044868628727</v>
      </c>
    </row>
    <row r="8" spans="1:8" x14ac:dyDescent="0.25">
      <c r="A8">
        <v>2022.583333333333</v>
      </c>
      <c r="B8">
        <v>102.69205040207081</v>
      </c>
      <c r="C8">
        <v>3.9336345401555621</v>
      </c>
      <c r="D8">
        <v>97.917656252259022</v>
      </c>
      <c r="E8">
        <v>1.3342798347558249</v>
      </c>
      <c r="F8">
        <v>100.30485332716491</v>
      </c>
      <c r="G8">
        <v>2.6484350020161922</v>
      </c>
      <c r="H8">
        <f t="shared" si="0"/>
        <v>1.1105580239813326</v>
      </c>
    </row>
    <row r="9" spans="1:8" x14ac:dyDescent="0.25">
      <c r="A9">
        <v>2022.666666666667</v>
      </c>
      <c r="B9">
        <v>103.95427569475321</v>
      </c>
      <c r="C9">
        <v>1.229136323347646</v>
      </c>
      <c r="D9">
        <v>101.0985016250099</v>
      </c>
      <c r="E9">
        <v>3.2484901033131619</v>
      </c>
      <c r="F9">
        <v>102.5263886598815</v>
      </c>
      <c r="G9">
        <v>2.2147834915530851</v>
      </c>
      <c r="H9">
        <f t="shared" si="0"/>
        <v>1.1351544797605893</v>
      </c>
    </row>
    <row r="10" spans="1:8" x14ac:dyDescent="0.25">
      <c r="A10">
        <v>2022.75</v>
      </c>
      <c r="B10">
        <v>107.83557144174721</v>
      </c>
      <c r="C10">
        <v>3.7336566688136452</v>
      </c>
      <c r="D10">
        <v>104.27016722494371</v>
      </c>
      <c r="E10">
        <v>3.1372033699352819</v>
      </c>
      <c r="F10">
        <v>106.0528693333455</v>
      </c>
      <c r="G10">
        <v>3.439583427796955</v>
      </c>
      <c r="H10">
        <f t="shared" si="0"/>
        <v>1.1741990651263292</v>
      </c>
    </row>
    <row r="11" spans="1:8" x14ac:dyDescent="0.25">
      <c r="A11">
        <v>2022.833333333333</v>
      </c>
      <c r="B11">
        <v>111.0582847563133</v>
      </c>
      <c r="C11">
        <v>2.988543827865731</v>
      </c>
      <c r="D11">
        <v>106.289340497423</v>
      </c>
      <c r="E11">
        <v>1.9364822424454919</v>
      </c>
      <c r="F11">
        <v>108.6738126268681</v>
      </c>
      <c r="G11">
        <v>2.4713553815168381</v>
      </c>
      <c r="H11">
        <f t="shared" si="0"/>
        <v>1.2032176969120492</v>
      </c>
    </row>
    <row r="12" spans="1:8" x14ac:dyDescent="0.25">
      <c r="A12">
        <v>2022.916666666667</v>
      </c>
      <c r="B12">
        <v>112.0662751156639</v>
      </c>
      <c r="C12">
        <v>0.90762284107159807</v>
      </c>
      <c r="D12">
        <v>108.1289719480494</v>
      </c>
      <c r="E12">
        <v>1.73077699232782</v>
      </c>
      <c r="F12">
        <v>110.0976235318567</v>
      </c>
      <c r="G12">
        <v>1.3101692768221711</v>
      </c>
      <c r="H12">
        <f t="shared" si="0"/>
        <v>1.2189818855102781</v>
      </c>
    </row>
    <row r="13" spans="1:8" x14ac:dyDescent="0.25">
      <c r="A13">
        <v>2023</v>
      </c>
      <c r="B13">
        <v>113.7300310377631</v>
      </c>
      <c r="C13">
        <v>1.484617848127767</v>
      </c>
      <c r="D13">
        <v>109.2951399515314</v>
      </c>
      <c r="E13">
        <v>1.07849726347371</v>
      </c>
      <c r="F13">
        <v>111.5125854946472</v>
      </c>
      <c r="G13">
        <v>1.285188469468745</v>
      </c>
      <c r="H13">
        <f t="shared" si="0"/>
        <v>1.2346481001477689</v>
      </c>
    </row>
    <row r="14" spans="1:8" x14ac:dyDescent="0.25">
      <c r="A14">
        <v>2023.083333333333</v>
      </c>
      <c r="B14">
        <v>118.1308020682382</v>
      </c>
      <c r="C14">
        <v>3.869488991007008</v>
      </c>
      <c r="D14">
        <v>108.0900243723794</v>
      </c>
      <c r="E14">
        <v>-1.1026250386672489</v>
      </c>
      <c r="F14">
        <v>113.1104132203088</v>
      </c>
      <c r="G14">
        <v>1.4328676163088749</v>
      </c>
      <c r="H14">
        <f t="shared" si="0"/>
        <v>1.2523389729501591</v>
      </c>
    </row>
    <row r="15" spans="1:8" x14ac:dyDescent="0.25">
      <c r="A15">
        <v>2023.166666666667</v>
      </c>
      <c r="B15">
        <v>123.2476745211506</v>
      </c>
      <c r="C15">
        <v>4.3315311191713279</v>
      </c>
      <c r="D15">
        <v>114.36275103157671</v>
      </c>
      <c r="E15">
        <v>5.8032428946331649</v>
      </c>
      <c r="F15">
        <v>118.8052127763636</v>
      </c>
      <c r="G15">
        <v>5.0347261528988829</v>
      </c>
      <c r="H15">
        <f t="shared" si="0"/>
        <v>1.315390810744226</v>
      </c>
    </row>
    <row r="16" spans="1:8" x14ac:dyDescent="0.25">
      <c r="A16">
        <v>2023.25</v>
      </c>
      <c r="B16">
        <v>125.1139693487508</v>
      </c>
      <c r="C16">
        <v>1.51426372534107</v>
      </c>
      <c r="D16">
        <v>115.3428712167764</v>
      </c>
      <c r="E16">
        <v>0.85702746423879095</v>
      </c>
      <c r="F16">
        <v>120.22842028276359</v>
      </c>
      <c r="G16">
        <v>1.19793355286435</v>
      </c>
      <c r="H16">
        <f t="shared" si="0"/>
        <v>1.3311483186174256</v>
      </c>
    </row>
    <row r="17" spans="1:8" x14ac:dyDescent="0.25">
      <c r="A17">
        <v>2023.333333333333</v>
      </c>
      <c r="B17">
        <v>126.44192452006899</v>
      </c>
      <c r="C17">
        <v>1.06139640379932</v>
      </c>
      <c r="D17">
        <v>118.34668326411671</v>
      </c>
      <c r="E17">
        <v>2.6042459457203959</v>
      </c>
      <c r="F17">
        <v>122.39430389209291</v>
      </c>
      <c r="G17">
        <v>1.8014738979647229</v>
      </c>
      <c r="H17">
        <f t="shared" si="0"/>
        <v>1.3551286081205147</v>
      </c>
    </row>
    <row r="18" spans="1:8" x14ac:dyDescent="0.25">
      <c r="A18">
        <v>2023.416666666667</v>
      </c>
      <c r="B18">
        <v>127.1808608707322</v>
      </c>
      <c r="C18">
        <v>0.58440770612120385</v>
      </c>
      <c r="D18">
        <v>118.76169433111551</v>
      </c>
      <c r="E18">
        <v>0.35067401599462311</v>
      </c>
      <c r="F18">
        <v>122.9712776009239</v>
      </c>
      <c r="G18">
        <v>0.47140568677088712</v>
      </c>
      <c r="H18">
        <f t="shared" si="0"/>
        <v>1.3615167614422541</v>
      </c>
    </row>
    <row r="19" spans="1:8" x14ac:dyDescent="0.25">
      <c r="A19">
        <v>2023.5</v>
      </c>
      <c r="B19">
        <v>129.63916516536111</v>
      </c>
      <c r="C19">
        <v>1.9329199989670309</v>
      </c>
      <c r="D19">
        <v>119.0755797625245</v>
      </c>
      <c r="E19">
        <v>0.26429854607319392</v>
      </c>
      <c r="F19">
        <v>124.3573724639428</v>
      </c>
      <c r="G19">
        <v>1.127169604204004</v>
      </c>
      <c r="H19">
        <f t="shared" si="0"/>
        <v>1.3768633645333739</v>
      </c>
    </row>
    <row r="20" spans="1:8" x14ac:dyDescent="0.25">
      <c r="A20">
        <v>2023.583333333333</v>
      </c>
      <c r="B20">
        <v>133.0446054623124</v>
      </c>
      <c r="C20">
        <v>2.6268607118901781</v>
      </c>
      <c r="D20">
        <v>123.2268173565449</v>
      </c>
      <c r="E20">
        <v>3.486220770286641</v>
      </c>
      <c r="F20">
        <v>128.13571140942861</v>
      </c>
      <c r="G20">
        <v>3.0382910724342742</v>
      </c>
      <c r="H20">
        <f t="shared" si="0"/>
        <v>1.4186964812176095</v>
      </c>
    </row>
    <row r="21" spans="1:8" x14ac:dyDescent="0.25">
      <c r="A21">
        <v>2023.666666666667</v>
      </c>
      <c r="B21">
        <v>129.67368090408391</v>
      </c>
      <c r="C21">
        <v>-2.5336799989108538</v>
      </c>
      <c r="D21">
        <v>121.8610493055095</v>
      </c>
      <c r="E21">
        <v>-1.108336708140079</v>
      </c>
      <c r="F21">
        <v>125.7673651047967</v>
      </c>
      <c r="G21">
        <v>-1.848310887403104</v>
      </c>
      <c r="H21">
        <f t="shared" si="0"/>
        <v>1.3924745596960597</v>
      </c>
    </row>
    <row r="22" spans="1:8" x14ac:dyDescent="0.25">
      <c r="A22">
        <v>2023.75</v>
      </c>
      <c r="B22">
        <v>134.01562939375299</v>
      </c>
      <c r="C22">
        <v>3.3483652653314881</v>
      </c>
      <c r="D22">
        <v>117.3060546883418</v>
      </c>
      <c r="E22">
        <v>-3.7378593431837688</v>
      </c>
      <c r="F22">
        <v>125.6608420410474</v>
      </c>
      <c r="G22">
        <v>-8.4698493651802487E-2</v>
      </c>
      <c r="H22">
        <f t="shared" si="0"/>
        <v>1.3912951547195125</v>
      </c>
    </row>
    <row r="23" spans="1:8" x14ac:dyDescent="0.25">
      <c r="A23">
        <v>2023.833333333333</v>
      </c>
      <c r="B23">
        <v>136.52539621177419</v>
      </c>
      <c r="C23">
        <v>1.872741880461692</v>
      </c>
      <c r="D23">
        <v>117.73061161808781</v>
      </c>
      <c r="E23">
        <v>0.36192243518375911</v>
      </c>
      <c r="F23">
        <v>127.128003914931</v>
      </c>
      <c r="G23">
        <v>1.1675569334513409</v>
      </c>
      <c r="H23">
        <f t="shared" si="0"/>
        <v>1.4075393177632127</v>
      </c>
    </row>
    <row r="24" spans="1:8" x14ac:dyDescent="0.25">
      <c r="A24">
        <v>2023.916666666667</v>
      </c>
      <c r="B24">
        <v>139.26440536146711</v>
      </c>
      <c r="C24">
        <v>2.0062268454758452</v>
      </c>
      <c r="D24">
        <v>124.7687610587499</v>
      </c>
      <c r="E24">
        <v>5.9781813276341911</v>
      </c>
      <c r="F24">
        <v>132.01658321010851</v>
      </c>
      <c r="G24">
        <v>3.8453992390604208</v>
      </c>
      <c r="H24">
        <f t="shared" si="0"/>
        <v>1.4616648239779555</v>
      </c>
    </row>
    <row r="25" spans="1:8" x14ac:dyDescent="0.25">
      <c r="A25">
        <v>2024</v>
      </c>
      <c r="B25">
        <v>139.56623896132439</v>
      </c>
      <c r="C25">
        <v>0.2167342035992004</v>
      </c>
      <c r="D25">
        <v>127.7117993078971</v>
      </c>
      <c r="E25">
        <v>2.358794159830957</v>
      </c>
      <c r="F25">
        <v>133.63901913461069</v>
      </c>
      <c r="G25">
        <v>1.2289637294431</v>
      </c>
      <c r="H25">
        <f t="shared" si="0"/>
        <v>1.4796281545106729</v>
      </c>
    </row>
    <row r="26" spans="1:8" x14ac:dyDescent="0.25">
      <c r="A26">
        <v>2024.083333333333</v>
      </c>
      <c r="B26">
        <v>140.76209847401259</v>
      </c>
      <c r="C26">
        <v>0.8568401080289556</v>
      </c>
      <c r="D26">
        <v>128.84342050515349</v>
      </c>
      <c r="E26">
        <v>0.88607411640031497</v>
      </c>
      <c r="F26">
        <v>134.802759489583</v>
      </c>
      <c r="G26">
        <v>0.87080881205816585</v>
      </c>
      <c r="H26">
        <f t="shared" si="0"/>
        <v>1.4925128868658455</v>
      </c>
    </row>
    <row r="27" spans="1:8" x14ac:dyDescent="0.25">
      <c r="A27">
        <v>2024.166666666667</v>
      </c>
      <c r="B27">
        <v>140.08684695449639</v>
      </c>
      <c r="C27">
        <v>-0.47971117711124173</v>
      </c>
      <c r="D27">
        <v>130.01419086065641</v>
      </c>
      <c r="E27">
        <v>0.90867686600732966</v>
      </c>
      <c r="F27">
        <v>135.05051890757639</v>
      </c>
      <c r="G27">
        <v>0.1837940253830439</v>
      </c>
      <c r="H27">
        <f t="shared" si="0"/>
        <v>1.4952560363799769</v>
      </c>
    </row>
    <row r="28" spans="1:8" x14ac:dyDescent="0.25">
      <c r="A28">
        <v>2024.25</v>
      </c>
      <c r="B28">
        <v>141.38865095027279</v>
      </c>
      <c r="C28">
        <v>0.92928352952310611</v>
      </c>
      <c r="D28">
        <v>131.65546602808189</v>
      </c>
      <c r="E28">
        <v>1.262381557398307</v>
      </c>
      <c r="F28">
        <v>136.52205848917731</v>
      </c>
      <c r="G28">
        <v>1.089621567917143</v>
      </c>
      <c r="H28">
        <f t="shared" si="0"/>
        <v>1.5115486686479562</v>
      </c>
    </row>
    <row r="29" spans="1:8" x14ac:dyDescent="0.25">
      <c r="A29">
        <v>2024.333333333333</v>
      </c>
      <c r="B29">
        <v>140.30937742070961</v>
      </c>
      <c r="C29">
        <v>-0.76333816208679073</v>
      </c>
      <c r="D29">
        <v>132.58737119208371</v>
      </c>
      <c r="E29">
        <v>0.7078362882426692</v>
      </c>
      <c r="F29">
        <v>136.44837430639669</v>
      </c>
      <c r="G29">
        <v>-5.3972364316878803E-2</v>
      </c>
      <c r="H29">
        <f t="shared" si="0"/>
        <v>1.5107328500936865</v>
      </c>
    </row>
    <row r="30" spans="1:8" x14ac:dyDescent="0.25">
      <c r="A30">
        <v>2024.416666666667</v>
      </c>
      <c r="B30">
        <v>136.9392926096358</v>
      </c>
      <c r="C30">
        <v>-2.401895634508322</v>
      </c>
      <c r="D30">
        <v>132.2675627292827</v>
      </c>
      <c r="E30">
        <v>-0.24120582520463779</v>
      </c>
      <c r="F30">
        <v>134.60342766945919</v>
      </c>
      <c r="G30">
        <v>-1.3521206436616029</v>
      </c>
      <c r="H30">
        <f t="shared" si="0"/>
        <v>1.4903059193569925</v>
      </c>
    </row>
    <row r="31" spans="1:8" x14ac:dyDescent="0.25">
      <c r="A31">
        <v>2024.5</v>
      </c>
      <c r="B31">
        <v>134.79563115242749</v>
      </c>
      <c r="C31">
        <v>-1.565410056059702</v>
      </c>
      <c r="D31">
        <v>130.30588121489191</v>
      </c>
      <c r="E31">
        <v>-1.4831160973351021</v>
      </c>
      <c r="F31">
        <v>132.5507561836597</v>
      </c>
      <c r="G31">
        <v>-1.524977128249805</v>
      </c>
      <c r="H31">
        <f t="shared" si="0"/>
        <v>1.4675790949458454</v>
      </c>
    </row>
    <row r="32" spans="1:8" x14ac:dyDescent="0.25">
      <c r="A32">
        <v>2024.583333333333</v>
      </c>
      <c r="B32">
        <v>135.1714243022609</v>
      </c>
      <c r="C32">
        <v>0.27878733651867099</v>
      </c>
      <c r="D32">
        <v>128.42213190850251</v>
      </c>
      <c r="E32">
        <v>-1.4456364431340021</v>
      </c>
      <c r="F32">
        <v>131.79677810538169</v>
      </c>
      <c r="G32">
        <v>-0.56882216291039844</v>
      </c>
      <c r="H32">
        <f t="shared" si="0"/>
        <v>1.4592311797955535</v>
      </c>
    </row>
    <row r="33" spans="1:9" x14ac:dyDescent="0.25">
      <c r="A33">
        <v>2024.666666666667</v>
      </c>
      <c r="B33">
        <v>134.95003879198219</v>
      </c>
      <c r="C33">
        <v>-0.16378129580381101</v>
      </c>
      <c r="D33">
        <v>125.501539986545</v>
      </c>
      <c r="E33">
        <v>-2.2742123016913811</v>
      </c>
      <c r="F33">
        <v>130.22578938926361</v>
      </c>
      <c r="G33">
        <v>-1.1919780883125839</v>
      </c>
      <c r="H33">
        <f t="shared" si="0"/>
        <v>1.4418374638745652</v>
      </c>
    </row>
    <row r="34" spans="1:9" x14ac:dyDescent="0.25">
      <c r="A34">
        <v>2024.75</v>
      </c>
      <c r="B34">
        <v>128.59468994712881</v>
      </c>
      <c r="C34">
        <v>-4.7094086832015432</v>
      </c>
      <c r="D34">
        <v>124.67544137760891</v>
      </c>
      <c r="E34">
        <v>-0.65823782642404627</v>
      </c>
      <c r="F34">
        <v>126.6350656623688</v>
      </c>
      <c r="G34">
        <v>-2.757306170870355</v>
      </c>
      <c r="H34">
        <f t="shared" si="0"/>
        <v>1.4020815905092312</v>
      </c>
    </row>
    <row r="35" spans="1:9" x14ac:dyDescent="0.25">
      <c r="A35">
        <v>2024.833333333333</v>
      </c>
      <c r="B35">
        <v>127.6098954091385</v>
      </c>
      <c r="C35">
        <v>-0.76581275509522984</v>
      </c>
      <c r="D35">
        <v>127.2515967865191</v>
      </c>
      <c r="E35">
        <v>2.0662893834140879</v>
      </c>
      <c r="F35">
        <v>127.4307460978288</v>
      </c>
      <c r="G35">
        <v>0.62832552050107182</v>
      </c>
      <c r="H35">
        <f t="shared" si="0"/>
        <v>1.4108912269606479</v>
      </c>
    </row>
    <row r="36" spans="1:9" x14ac:dyDescent="0.25">
      <c r="A36">
        <v>2024.916666666667</v>
      </c>
      <c r="B36">
        <v>130.80931779342089</v>
      </c>
      <c r="C36">
        <v>2.5071898805532071</v>
      </c>
      <c r="D36">
        <v>124.3898829420752</v>
      </c>
      <c r="E36">
        <v>-2.2488628172145479</v>
      </c>
      <c r="F36">
        <v>127.5996003677481</v>
      </c>
      <c r="G36">
        <v>0.13250669488327199</v>
      </c>
      <c r="H36">
        <f>+H35*(1+G36/100)</f>
        <v>1.4127607522938916</v>
      </c>
      <c r="I36">
        <f>+F36/F2</f>
        <v>1.4127607522938925</v>
      </c>
    </row>
  </sheetData>
  <conditionalFormatting sqref="E3:E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Nozimjon Ortiqov</cp:lastModifiedBy>
  <dcterms:created xsi:type="dcterms:W3CDTF">2025-03-03T14:54:53Z</dcterms:created>
  <dcterms:modified xsi:type="dcterms:W3CDTF">2025-03-03T16:42:01Z</dcterms:modified>
</cp:coreProperties>
</file>