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уй_жой\hedonic_price\"/>
    </mc:Choice>
  </mc:AlternateContent>
  <xr:revisionPtr revIDLastSave="0" documentId="13_ncr:1_{DFB5E761-A1AA-4A5C-AFA8-8C00C6E9F1B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weight_district" sheetId="2" r:id="rId2"/>
    <sheet name="weight_mark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9" i="1" l="1"/>
  <c r="B30" i="1" s="1"/>
  <c r="B3" i="3" l="1"/>
  <c r="AK14" i="1"/>
  <c r="C29" i="1"/>
  <c r="C30" i="1" s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Z32" i="1" s="1"/>
  <c r="AA14" i="1"/>
  <c r="AB14" i="1"/>
  <c r="AC14" i="1"/>
  <c r="AD14" i="1"/>
  <c r="AE14" i="1"/>
  <c r="AF14" i="1"/>
  <c r="AG14" i="1"/>
  <c r="AH14" i="1"/>
  <c r="AI14" i="1"/>
  <c r="AJ14" i="1"/>
  <c r="B14" i="1"/>
  <c r="B15" i="1" s="1"/>
  <c r="C15" i="1" s="1"/>
  <c r="D15" i="1" s="1"/>
  <c r="E15" i="1" s="1"/>
  <c r="F15" i="1" s="1"/>
  <c r="G15" i="1" s="1"/>
  <c r="H15" i="1" s="1"/>
  <c r="I15" i="1" s="1"/>
  <c r="J15" i="1" l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K16" i="1" s="1"/>
  <c r="J32" i="1"/>
  <c r="AD32" i="1"/>
  <c r="I32" i="1"/>
  <c r="AF32" i="1"/>
  <c r="X32" i="1"/>
  <c r="P32" i="1"/>
  <c r="H32" i="1"/>
  <c r="AI32" i="1"/>
  <c r="AA32" i="1"/>
  <c r="S32" i="1"/>
  <c r="K32" i="1"/>
  <c r="Y32" i="1"/>
  <c r="AE32" i="1"/>
  <c r="W32" i="1"/>
  <c r="O32" i="1"/>
  <c r="G32" i="1"/>
  <c r="AK32" i="1"/>
  <c r="V32" i="1"/>
  <c r="F32" i="1"/>
  <c r="R32" i="1"/>
  <c r="AC32" i="1"/>
  <c r="U32" i="1"/>
  <c r="M32" i="1"/>
  <c r="E32" i="1"/>
  <c r="B32" i="1"/>
  <c r="Q32" i="1"/>
  <c r="AJ32" i="1"/>
  <c r="AB32" i="1"/>
  <c r="T32" i="1"/>
  <c r="L32" i="1"/>
  <c r="D32" i="1"/>
  <c r="AH32" i="1"/>
  <c r="N32" i="1"/>
  <c r="C32" i="1"/>
  <c r="AG32" i="1"/>
</calcChain>
</file>

<file path=xl/sharedStrings.xml><?xml version="1.0" encoding="utf-8"?>
<sst xmlns="http://schemas.openxmlformats.org/spreadsheetml/2006/main" count="114" uniqueCount="89">
  <si>
    <t>district</t>
  </si>
  <si>
    <t>secondary_growth_фев 2022</t>
  </si>
  <si>
    <t>secondary_growth_мар 2022</t>
  </si>
  <si>
    <t>secondary_growth_апр 2022</t>
  </si>
  <si>
    <t>secondary_growth_июн 2022</t>
  </si>
  <si>
    <t>secondary_growth_июл 2022</t>
  </si>
  <si>
    <t>secondary_growth_авг 2022</t>
  </si>
  <si>
    <t>secondary_growth_сен 2022</t>
  </si>
  <si>
    <t>secondary_growth_окт 2022</t>
  </si>
  <si>
    <t>secondary_growth_ноя 2022</t>
  </si>
  <si>
    <t>secondary_growth_дек 2022</t>
  </si>
  <si>
    <t>secondary_growth_янв 2023</t>
  </si>
  <si>
    <t>secondary_growth_фев 2023</t>
  </si>
  <si>
    <t>secondary_growth_мар 2023</t>
  </si>
  <si>
    <t>secondary_growth_апр 2023</t>
  </si>
  <si>
    <t>secondary_growth_май 2023</t>
  </si>
  <si>
    <t>secondary_growth_июн 2023</t>
  </si>
  <si>
    <t>secondary_growth_июл 2023</t>
  </si>
  <si>
    <t>secondary_growth_авг 2023</t>
  </si>
  <si>
    <t>secondary_growth_сен 2023</t>
  </si>
  <si>
    <t>secondary_growth_окт 2023</t>
  </si>
  <si>
    <t>secondary_growth_ноя 2023</t>
  </si>
  <si>
    <t>secondary_growth_дек 2023</t>
  </si>
  <si>
    <t>secondary_growth_янв 2024</t>
  </si>
  <si>
    <t>secondary_growth_фев 2024</t>
  </si>
  <si>
    <t>secondary_growth_мар 2024</t>
  </si>
  <si>
    <t>secondary_growth_апр 2024</t>
  </si>
  <si>
    <t>secondary_growth_май 2024</t>
  </si>
  <si>
    <t>secondary_growth_июн 2024</t>
  </si>
  <si>
    <t>secondary_growth_июл 2024</t>
  </si>
  <si>
    <t>secondary_growth_авг 2024</t>
  </si>
  <si>
    <t>secondary_growth_сен 2024</t>
  </si>
  <si>
    <t>secondary_growth_окт 2024</t>
  </si>
  <si>
    <t>secondary_growth_ноя 2024</t>
  </si>
  <si>
    <t>secondary_growth_дек 2024</t>
  </si>
  <si>
    <t>secondary_growth_янв 2025</t>
  </si>
  <si>
    <t>secondary_growth_фев 2025</t>
  </si>
  <si>
    <t>new_growth_фев 2022</t>
  </si>
  <si>
    <t>new_growth_мар 2022</t>
  </si>
  <si>
    <t>new_growth_апр 2022</t>
  </si>
  <si>
    <t>new_growth_июн 2022</t>
  </si>
  <si>
    <t>new_growth_июл 2022</t>
  </si>
  <si>
    <t>new_growth_авг 2022</t>
  </si>
  <si>
    <t>new_growth_сен 2022</t>
  </si>
  <si>
    <t>new_growth_окт 2022</t>
  </si>
  <si>
    <t>new_growth_ноя 2022</t>
  </si>
  <si>
    <t>new_growth_дек 2022</t>
  </si>
  <si>
    <t>new_growth_янв 2023</t>
  </si>
  <si>
    <t>new_growth_фев 2023</t>
  </si>
  <si>
    <t>new_growth_мар 2023</t>
  </si>
  <si>
    <t>new_growth_апр 2023</t>
  </si>
  <si>
    <t>new_growth_май 2023</t>
  </si>
  <si>
    <t>new_growth_июн 2023</t>
  </si>
  <si>
    <t>new_growth_июл 2023</t>
  </si>
  <si>
    <t>new_growth_авг 2023</t>
  </si>
  <si>
    <t>new_growth_сен 2023</t>
  </si>
  <si>
    <t>new_growth_окт 2023</t>
  </si>
  <si>
    <t>new_growth_ноя 2023</t>
  </si>
  <si>
    <t>new_growth_дек 2023</t>
  </si>
  <si>
    <t>new_growth_янв 2024</t>
  </si>
  <si>
    <t>new_growth_фев 2024</t>
  </si>
  <si>
    <t>new_growth_мар 2024</t>
  </si>
  <si>
    <t>new_growth_апр 2024</t>
  </si>
  <si>
    <t>new_growth_май 2024</t>
  </si>
  <si>
    <t>new_growth_июн 2024</t>
  </si>
  <si>
    <t>new_growth_июл 2024</t>
  </si>
  <si>
    <t>new_growth_авг 2024</t>
  </si>
  <si>
    <t>new_growth_сен 2024</t>
  </si>
  <si>
    <t>new_growth_окт 2024</t>
  </si>
  <si>
    <t>new_growth_ноя 2024</t>
  </si>
  <si>
    <t>new_growth_дек 2024</t>
  </si>
  <si>
    <t>new_growth_янв 2025</t>
  </si>
  <si>
    <t>new_growth_фев 2025</t>
  </si>
  <si>
    <t>Bektemir</t>
  </si>
  <si>
    <t>Chilonzor</t>
  </si>
  <si>
    <t>Mirobod</t>
  </si>
  <si>
    <t>Mirzo-Ulugbek</t>
  </si>
  <si>
    <t>Olmazor</t>
  </si>
  <si>
    <t>Sergeli</t>
  </si>
  <si>
    <t>Shayhontohur</t>
  </si>
  <si>
    <t>Uchtepa</t>
  </si>
  <si>
    <t>Yakkasaroy</t>
  </si>
  <si>
    <t>Yashnobod</t>
  </si>
  <si>
    <t>Yunusobod</t>
  </si>
  <si>
    <t>secondart</t>
  </si>
  <si>
    <t>primary</t>
  </si>
  <si>
    <t>Overall for Tashkent</t>
  </si>
  <si>
    <t>Total for Tashkent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</si>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</sst>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_-;\-* #,##0.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3" fillId="0" borderId="0" xfId="0" applyFont="1"/>
    <xf numFmtId="164" fontId="3" fillId="0" borderId="0" xfId="0" applyNumberFormat="1" applyFont="1"/>
    <xf numFmtId="0" fontId="3" fillId="0" borderId="0" xfId="0" applyNumberFormat="1" applyFont="1"/>
    <xf numFmtId="0" fontId="3" fillId="0" borderId="0" xfId="2" applyNumberFormat="1" applyFont="1"/>
    <xf numFmtId="165" fontId="3" fillId="0" borderId="0" xfId="1" applyNumberFormat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H32"/>
  <sheetViews>
    <sheetView tabSelected="1" topLeftCell="A13" workbookViewId="0">
      <selection activeCell="C34" sqref="C34"/>
    </sheetView>
  </sheetViews>
  <sheetFormatPr defaultRowHeight="15" x14ac:dyDescent="0.25"/>
  <cols>
    <col min="1" max="1" width="18.85546875" customWidth="1"/>
    <col min="2" max="2" width="13.85546875" customWidth="1"/>
    <col min="3" max="3" width="10.85546875" bestFit="1" customWidth="1"/>
    <col min="4" max="4" width="12" customWidth="1"/>
    <col min="5" max="10" width="10.7109375" bestFit="1" customWidth="1"/>
    <col min="11" max="11" width="11.28515625" bestFit="1" customWidth="1"/>
    <col min="12" max="20" width="10.7109375" bestFit="1" customWidth="1"/>
    <col min="21" max="21" width="11.28515625" bestFit="1" customWidth="1"/>
    <col min="22" max="24" width="10.7109375" bestFit="1" customWidth="1"/>
    <col min="25" max="25" width="11.28515625" bestFit="1" customWidth="1"/>
    <col min="26" max="26" width="10.7109375" bestFit="1" customWidth="1"/>
    <col min="27" max="27" width="11.42578125" bestFit="1" customWidth="1"/>
    <col min="28" max="28" width="11.28515625" bestFit="1" customWidth="1"/>
    <col min="29" max="35" width="11.42578125" bestFit="1" customWidth="1"/>
    <col min="36" max="36" width="10.7109375" bestFit="1" customWidth="1"/>
    <col min="37" max="37" width="12" bestFit="1" customWidth="1"/>
  </cols>
  <sheetData>
    <row r="2" spans="1:112" s="1" customFormat="1" ht="45" x14ac:dyDescent="0.25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</row>
    <row r="3" spans="1:112" x14ac:dyDescent="0.25">
      <c r="A3" t="s">
        <v>73</v>
      </c>
      <c r="B3" s="2">
        <v>-0.52980372985705904</v>
      </c>
      <c r="C3" s="2">
        <v>6.4707872494831564</v>
      </c>
      <c r="D3" s="2">
        <v>3.3558315166909209</v>
      </c>
      <c r="E3" s="2">
        <v>-0.82295260820791638</v>
      </c>
      <c r="F3" s="2">
        <v>7.4804290049541811</v>
      </c>
      <c r="G3" s="2">
        <v>-2.3112251438860421</v>
      </c>
      <c r="H3" s="2">
        <v>0.51996266539666713</v>
      </c>
      <c r="I3" s="2">
        <v>7.189272605481678</v>
      </c>
      <c r="J3" s="2">
        <v>8.7739345817028358</v>
      </c>
      <c r="K3" s="2">
        <v>-6.27482208519673</v>
      </c>
      <c r="L3" s="2">
        <v>0.65132369669742562</v>
      </c>
      <c r="M3" s="2">
        <v>5.0212584067430788</v>
      </c>
      <c r="N3" s="2">
        <v>3.2029286432910591</v>
      </c>
      <c r="O3" s="2">
        <v>0.78991344541969877</v>
      </c>
      <c r="P3" s="2">
        <v>3.6273450650177619</v>
      </c>
      <c r="Q3" s="2">
        <v>2.8621207617929079</v>
      </c>
      <c r="R3" s="2">
        <v>2.9230684716668121</v>
      </c>
      <c r="S3" s="2">
        <v>2.6151633754358139</v>
      </c>
      <c r="T3" s="2">
        <v>1.2202692780046931</v>
      </c>
      <c r="U3" s="2">
        <v>0.71843919233580689</v>
      </c>
      <c r="V3" s="2">
        <v>0.55562864126308398</v>
      </c>
      <c r="W3" s="2">
        <v>-3.0412587236337112</v>
      </c>
      <c r="X3" s="2">
        <v>3.6113024689290452</v>
      </c>
      <c r="Y3" s="2">
        <v>4.4962019474213077</v>
      </c>
      <c r="Z3" s="2">
        <v>-0.74695800087174469</v>
      </c>
      <c r="AA3" s="2">
        <v>1.319413856614271</v>
      </c>
      <c r="AB3" s="2">
        <v>-3.657981954298783</v>
      </c>
      <c r="AC3" s="2">
        <v>-0.98003859194967236</v>
      </c>
      <c r="AD3" s="2">
        <v>2.1014259929593049</v>
      </c>
      <c r="AE3" s="2">
        <v>-1.06863731565221</v>
      </c>
      <c r="AF3" s="2">
        <v>0.32288516709784171</v>
      </c>
      <c r="AG3" s="2">
        <v>-0.89624978453419768</v>
      </c>
      <c r="AH3" s="2">
        <v>0.96809402344215645</v>
      </c>
      <c r="AI3" s="2">
        <v>1.517430504307393</v>
      </c>
      <c r="AJ3" s="2">
        <v>-1.9698823369181611</v>
      </c>
      <c r="AK3" s="2">
        <v>-1.2206483167407689</v>
      </c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 x14ac:dyDescent="0.25">
      <c r="A4" t="s">
        <v>74</v>
      </c>
      <c r="B4" s="2">
        <v>1.472787889393778</v>
      </c>
      <c r="C4" s="2">
        <v>1.843550845231801</v>
      </c>
      <c r="D4" s="2">
        <v>-0.1161993324992228</v>
      </c>
      <c r="E4" s="2">
        <v>4.3783296916726888</v>
      </c>
      <c r="F4" s="2">
        <v>0.22643170124558851</v>
      </c>
      <c r="G4" s="2">
        <v>5.1998816011991744</v>
      </c>
      <c r="H4" s="2">
        <v>1.1982977839665401</v>
      </c>
      <c r="I4" s="2">
        <v>3.7964622698524191</v>
      </c>
      <c r="J4" s="2">
        <v>2.999969996864627</v>
      </c>
      <c r="K4" s="2">
        <v>0.87495974819271627</v>
      </c>
      <c r="L4" s="2">
        <v>1.438732447113233</v>
      </c>
      <c r="M4" s="2">
        <v>3.8115935691152458</v>
      </c>
      <c r="N4" s="2">
        <v>4.3813393892181862</v>
      </c>
      <c r="O4" s="2">
        <v>1.577676167659714</v>
      </c>
      <c r="P4" s="2">
        <v>1.0750397692549369</v>
      </c>
      <c r="Q4" s="2">
        <v>0.62654358988676329</v>
      </c>
      <c r="R4" s="2">
        <v>1.9295272853443901</v>
      </c>
      <c r="S4" s="2">
        <v>2.6100230960017572</v>
      </c>
      <c r="T4" s="2">
        <v>-3.087581797385508</v>
      </c>
      <c r="U4" s="2">
        <v>3.7552980078697562</v>
      </c>
      <c r="V4" s="2">
        <v>1.8885800772159509</v>
      </c>
      <c r="W4" s="2">
        <v>2.0532286332489709</v>
      </c>
      <c r="X4" s="2">
        <v>2.6619297683172501E-2</v>
      </c>
      <c r="Y4" s="2">
        <v>1.024569952730547</v>
      </c>
      <c r="Z4" s="2">
        <v>-0.55464675338708913</v>
      </c>
      <c r="AA4" s="2">
        <v>0.94367820730694163</v>
      </c>
      <c r="AB4" s="2">
        <v>-0.82672924588905738</v>
      </c>
      <c r="AC4" s="2">
        <v>-2.346431621723255</v>
      </c>
      <c r="AD4" s="2">
        <v>-1.496130541011198</v>
      </c>
      <c r="AE4" s="2">
        <v>0.17649348234396459</v>
      </c>
      <c r="AF4" s="2">
        <v>-0.14354189011470669</v>
      </c>
      <c r="AG4" s="2">
        <v>-4.3274467588977128</v>
      </c>
      <c r="AH4" s="2">
        <v>-0.86697528097247067</v>
      </c>
      <c r="AI4" s="2">
        <v>2.6767693451625001</v>
      </c>
      <c r="AJ4" s="2">
        <v>-1.143630933982853</v>
      </c>
      <c r="AK4" s="2">
        <v>0.90877868738943324</v>
      </c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 x14ac:dyDescent="0.25">
      <c r="A5" t="s">
        <v>75</v>
      </c>
      <c r="B5" s="2">
        <v>1.3653826595361851</v>
      </c>
      <c r="C5" s="2">
        <v>1.132399149168384</v>
      </c>
      <c r="D5" s="2">
        <v>-2.6847595711834149</v>
      </c>
      <c r="E5" s="2">
        <v>-15.98942517422797</v>
      </c>
      <c r="F5" s="2">
        <v>1.203632328991411</v>
      </c>
      <c r="G5" s="2">
        <v>-0.50642272467449345</v>
      </c>
      <c r="H5" s="2">
        <v>2.8359534429386102</v>
      </c>
      <c r="I5" s="2">
        <v>2.9131137709139892</v>
      </c>
      <c r="J5" s="2">
        <v>3.5926736447916112</v>
      </c>
      <c r="K5" s="2">
        <v>0.13542122794358849</v>
      </c>
      <c r="L5" s="2">
        <v>1.5322251901061621</v>
      </c>
      <c r="M5" s="2">
        <v>4.2175580664485226</v>
      </c>
      <c r="N5" s="2">
        <v>3.1845268977853221</v>
      </c>
      <c r="O5" s="2">
        <v>3.7313582000090939</v>
      </c>
      <c r="P5" s="2">
        <v>-0.68430980772362648</v>
      </c>
      <c r="Q5" s="2">
        <v>1.734264186328649</v>
      </c>
      <c r="R5" s="2">
        <v>1.0747484063353689</v>
      </c>
      <c r="S5" s="2">
        <v>0.42612953390601671</v>
      </c>
      <c r="T5" s="2">
        <v>2.5687193545411269</v>
      </c>
      <c r="U5" s="2">
        <v>-0.66694091466293903</v>
      </c>
      <c r="V5" s="2">
        <v>1.460957948803143</v>
      </c>
      <c r="W5" s="2">
        <v>0.10004111127743801</v>
      </c>
      <c r="X5" s="2">
        <v>-0.51903597464141304</v>
      </c>
      <c r="Y5" s="2">
        <v>3.6441320379819508</v>
      </c>
      <c r="Z5" s="2">
        <v>0.30254380432197531</v>
      </c>
      <c r="AA5" s="2">
        <v>9.8754743180040627E-2</v>
      </c>
      <c r="AB5" s="2">
        <v>-1.5272756215122469</v>
      </c>
      <c r="AC5" s="2">
        <v>-1.3747409753456561</v>
      </c>
      <c r="AD5" s="2">
        <v>-0.2435094508246638</v>
      </c>
      <c r="AE5" s="2">
        <v>-0.57095022431112863</v>
      </c>
      <c r="AF5" s="2">
        <v>7.7622225648465992E-2</v>
      </c>
      <c r="AG5" s="2">
        <v>0.75038786359120646</v>
      </c>
      <c r="AH5" s="2">
        <v>-1.404097578728569</v>
      </c>
      <c r="AI5" s="2">
        <v>-0.1726312697517218</v>
      </c>
      <c r="AJ5" s="2">
        <v>-1.6992769671157371</v>
      </c>
      <c r="AK5" s="2">
        <v>-0.1911005841113145</v>
      </c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 x14ac:dyDescent="0.25">
      <c r="A6" t="s">
        <v>76</v>
      </c>
      <c r="B6" s="2">
        <v>-0.18004725362368301</v>
      </c>
      <c r="C6" s="2">
        <v>3.5907832857725142</v>
      </c>
      <c r="D6" s="2">
        <v>0.44987159017395578</v>
      </c>
      <c r="E6" s="2">
        <v>2.311906802609998</v>
      </c>
      <c r="F6" s="2">
        <v>2.371651461567303</v>
      </c>
      <c r="G6" s="2">
        <v>-0.13974000107616069</v>
      </c>
      <c r="H6" s="2">
        <v>3.7695395066104309</v>
      </c>
      <c r="I6" s="2">
        <v>2.6424054485293391</v>
      </c>
      <c r="J6" s="2">
        <v>1.497142576251109</v>
      </c>
      <c r="K6" s="2">
        <v>2.520297854053632</v>
      </c>
      <c r="L6" s="2">
        <v>-0.78171036363933188</v>
      </c>
      <c r="M6" s="2">
        <v>4.7269389138838491</v>
      </c>
      <c r="N6" s="2">
        <v>4.2313293737090696</v>
      </c>
      <c r="O6" s="2">
        <v>1.01987325116828</v>
      </c>
      <c r="P6" s="2">
        <v>1.2499961079640129</v>
      </c>
      <c r="Q6" s="2">
        <v>0.96458488015247479</v>
      </c>
      <c r="R6" s="2">
        <v>2.207755661660205</v>
      </c>
      <c r="S6" s="2">
        <v>1.282929558015744</v>
      </c>
      <c r="T6" s="2">
        <v>-0.69380076337127727</v>
      </c>
      <c r="U6" s="2">
        <v>3.7812323662415048</v>
      </c>
      <c r="V6" s="2">
        <v>1.417620301566225</v>
      </c>
      <c r="W6" s="2">
        <v>1.2569903479347611</v>
      </c>
      <c r="X6" s="2">
        <v>-0.19621699953215049</v>
      </c>
      <c r="Y6" s="2">
        <v>1.367236406065087</v>
      </c>
      <c r="Z6" s="2">
        <v>-0.29094074368609668</v>
      </c>
      <c r="AA6" s="2">
        <v>0.64210340824948364</v>
      </c>
      <c r="AB6" s="2">
        <v>7.6036476437235656E-2</v>
      </c>
      <c r="AC6" s="2">
        <v>-1.9501621337970729</v>
      </c>
      <c r="AD6" s="2">
        <v>-0.181549658124569</v>
      </c>
      <c r="AE6" s="2">
        <v>-0.48392507498293819</v>
      </c>
      <c r="AF6" s="2">
        <v>-1.387409080841207</v>
      </c>
      <c r="AG6" s="2">
        <v>-2.6126273651086551</v>
      </c>
      <c r="AH6" s="2">
        <v>-1.667940050948125</v>
      </c>
      <c r="AI6" s="2">
        <v>1.610414075778954</v>
      </c>
      <c r="AJ6" s="2">
        <v>-1.762957476033455</v>
      </c>
      <c r="AK6" s="2">
        <v>-0.75017611484783364</v>
      </c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 x14ac:dyDescent="0.25">
      <c r="A7" t="s">
        <v>77</v>
      </c>
      <c r="B7" s="2">
        <v>1.964868033859579</v>
      </c>
      <c r="C7" s="2">
        <v>1.958599309428477</v>
      </c>
      <c r="D7" s="2">
        <v>0.24347038597896109</v>
      </c>
      <c r="E7" s="2">
        <v>4.8378779670377847</v>
      </c>
      <c r="F7" s="2">
        <v>2.501471070993166</v>
      </c>
      <c r="G7" s="2">
        <v>2.4117155347512131</v>
      </c>
      <c r="H7" s="2">
        <v>2.9268060305824628</v>
      </c>
      <c r="I7" s="2">
        <v>3.0704063481750139</v>
      </c>
      <c r="J7" s="2">
        <v>1.210137848660908</v>
      </c>
      <c r="K7" s="2">
        <v>1.7971231044581431</v>
      </c>
      <c r="L7" s="2">
        <v>2.692962724096581</v>
      </c>
      <c r="M7" s="2">
        <v>4.1480227991518293</v>
      </c>
      <c r="N7" s="2">
        <v>2.5002749674427389</v>
      </c>
      <c r="O7" s="2">
        <v>4.1606339466435882</v>
      </c>
      <c r="P7" s="2">
        <v>2.1861436304515309</v>
      </c>
      <c r="Q7" s="2">
        <v>-0.3677488484090996</v>
      </c>
      <c r="R7" s="2">
        <v>0.81117551180986958</v>
      </c>
      <c r="S7" s="2">
        <v>0.91774867814524708</v>
      </c>
      <c r="T7" s="2">
        <v>0.2404758991374267</v>
      </c>
      <c r="U7" s="2">
        <v>1.6958805018306491</v>
      </c>
      <c r="V7" s="2">
        <v>0.41825582391046279</v>
      </c>
      <c r="W7" s="2">
        <v>-0.54272378247712805</v>
      </c>
      <c r="X7" s="2">
        <v>1.0735958667378751</v>
      </c>
      <c r="Y7" s="2">
        <v>1.9218556851439581</v>
      </c>
      <c r="Z7" s="2">
        <v>0.82726958363610326</v>
      </c>
      <c r="AA7" s="2">
        <v>-9.7957402891557521E-2</v>
      </c>
      <c r="AB7" s="2">
        <v>-1.19013772146801</v>
      </c>
      <c r="AC7" s="2">
        <v>-0.75375644947666132</v>
      </c>
      <c r="AD7" s="2">
        <v>-1.055640843870564</v>
      </c>
      <c r="AE7" s="2">
        <v>-0.58092424267448539</v>
      </c>
      <c r="AF7" s="2">
        <v>0.38308449155037838</v>
      </c>
      <c r="AG7" s="2">
        <v>-0.26123385394597459</v>
      </c>
      <c r="AH7" s="2">
        <v>-0.17352349061068309</v>
      </c>
      <c r="AI7" s="2">
        <v>-0.35621654574269362</v>
      </c>
      <c r="AJ7" s="2">
        <v>1.0049067641548339</v>
      </c>
      <c r="AK7" s="2">
        <v>0.28023865238191448</v>
      </c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 x14ac:dyDescent="0.25">
      <c r="A8" t="s">
        <v>78</v>
      </c>
      <c r="B8" s="2">
        <v>1.1656532788701051</v>
      </c>
      <c r="C8" s="2">
        <v>1.0435232117759869</v>
      </c>
      <c r="D8" s="2">
        <v>1.6568566373724281</v>
      </c>
      <c r="E8" s="2">
        <v>1.239437221111084</v>
      </c>
      <c r="F8" s="2">
        <v>1.037874223801061</v>
      </c>
      <c r="G8" s="2">
        <v>3.653448219705524</v>
      </c>
      <c r="H8" s="2">
        <v>3.7913065668840229</v>
      </c>
      <c r="I8" s="2">
        <v>3.8584416941700228</v>
      </c>
      <c r="J8" s="2">
        <v>-0.12570912867226891</v>
      </c>
      <c r="K8" s="2">
        <v>-0.12570912867226891</v>
      </c>
      <c r="L8" s="2">
        <v>1.7029261496224191</v>
      </c>
      <c r="M8" s="2">
        <v>4.8052062416258146</v>
      </c>
      <c r="N8" s="2">
        <v>1.9482822790587659</v>
      </c>
      <c r="O8" s="2">
        <v>3.1148008930148801</v>
      </c>
      <c r="P8" s="2">
        <v>-6.624788222017175E-2</v>
      </c>
      <c r="Q8" s="2">
        <v>1.5662453752755661</v>
      </c>
      <c r="R8" s="2">
        <v>3.3142368517858229</v>
      </c>
      <c r="S8" s="2">
        <v>-0.1263052083665728</v>
      </c>
      <c r="T8" s="2">
        <v>1.655333311776475</v>
      </c>
      <c r="U8" s="2">
        <v>1.017105910609017</v>
      </c>
      <c r="V8" s="2">
        <v>0.33635528144826399</v>
      </c>
      <c r="W8" s="2">
        <v>0.94801702741063032</v>
      </c>
      <c r="X8" s="2">
        <v>0.77295267348078678</v>
      </c>
      <c r="Y8" s="2">
        <v>0.26503105254065412</v>
      </c>
      <c r="Z8" s="2">
        <v>1.9956256828000061</v>
      </c>
      <c r="AA8" s="2">
        <v>-0.96147148584482256</v>
      </c>
      <c r="AB8" s="2">
        <v>-0.33798345513531558</v>
      </c>
      <c r="AC8" s="2">
        <v>-0.57308041787320629</v>
      </c>
      <c r="AD8" s="2">
        <v>-1.1106441047622371</v>
      </c>
      <c r="AE8" s="2">
        <v>-1.5272121886517049</v>
      </c>
      <c r="AF8" s="2">
        <v>0.91746728624710894</v>
      </c>
      <c r="AG8" s="2">
        <v>-1.6878974765018651</v>
      </c>
      <c r="AH8" s="2">
        <v>1.038849324221558</v>
      </c>
      <c r="AI8" s="2">
        <v>-0.30500426835565753</v>
      </c>
      <c r="AJ8" s="2">
        <v>0.72116196203089178</v>
      </c>
      <c r="AK8" s="2">
        <v>-0.95419042184551328</v>
      </c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</row>
    <row r="9" spans="1:112" x14ac:dyDescent="0.25">
      <c r="A9" t="s">
        <v>79</v>
      </c>
      <c r="B9" s="2">
        <v>-1.535842528096498</v>
      </c>
      <c r="C9" s="2">
        <v>0.94000062850039257</v>
      </c>
      <c r="D9" s="2">
        <v>2.1198522828974831</v>
      </c>
      <c r="E9" s="2">
        <v>6.4559795080178839</v>
      </c>
      <c r="F9" s="2">
        <v>-0.25796910630984099</v>
      </c>
      <c r="G9" s="2">
        <v>2.0704045193013609</v>
      </c>
      <c r="H9" s="2">
        <v>1.6166314852197989</v>
      </c>
      <c r="I9" s="2">
        <v>5.3616098365544929</v>
      </c>
      <c r="J9" s="2">
        <v>1.2836358643016019</v>
      </c>
      <c r="K9" s="2">
        <v>1.4893708757453661</v>
      </c>
      <c r="L9" s="2">
        <v>2.0794949971892018</v>
      </c>
      <c r="M9" s="2">
        <v>1.250918012716951</v>
      </c>
      <c r="N9" s="2">
        <v>3.3387206218985499</v>
      </c>
      <c r="O9" s="2">
        <v>1.901388103892421</v>
      </c>
      <c r="P9" s="2">
        <v>2.641916122948107</v>
      </c>
      <c r="Q9" s="2">
        <v>1.0230999640948419</v>
      </c>
      <c r="R9" s="2">
        <v>3.8058208985059849</v>
      </c>
      <c r="S9" s="2">
        <v>0.52210133363095323</v>
      </c>
      <c r="T9" s="2">
        <v>1.2178438468222419</v>
      </c>
      <c r="U9" s="2">
        <v>1.2699021564547719</v>
      </c>
      <c r="V9" s="2">
        <v>2.2067573057697349</v>
      </c>
      <c r="W9" s="2">
        <v>-1.323325914355344</v>
      </c>
      <c r="X9" s="2">
        <v>1.361044437693093</v>
      </c>
      <c r="Y9" s="2">
        <v>1.4473580380386151</v>
      </c>
      <c r="Z9" s="2">
        <v>0.90529902014868657</v>
      </c>
      <c r="AA9" s="2">
        <v>-1.7014268835549129</v>
      </c>
      <c r="AB9" s="2">
        <v>-0.68178297512264674</v>
      </c>
      <c r="AC9" s="2">
        <v>-0.29169623742192341</v>
      </c>
      <c r="AD9" s="2">
        <v>-0.5126302793037163</v>
      </c>
      <c r="AE9" s="2">
        <v>-1.3028981793159029</v>
      </c>
      <c r="AF9" s="2">
        <v>0.3583565608893613</v>
      </c>
      <c r="AG9" s="2">
        <v>0.28071526701936023</v>
      </c>
      <c r="AH9" s="2">
        <v>1.397245092296129</v>
      </c>
      <c r="AI9" s="2">
        <v>0.23868720179460731</v>
      </c>
      <c r="AJ9" s="2">
        <v>-1.765899804454341</v>
      </c>
      <c r="AK9" s="2">
        <v>0.94398729451159458</v>
      </c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</row>
    <row r="10" spans="1:112" x14ac:dyDescent="0.25">
      <c r="A10" t="s">
        <v>80</v>
      </c>
      <c r="B10" s="2">
        <v>2.8273170357119741</v>
      </c>
      <c r="C10" s="2">
        <v>8.0826784841669941E-2</v>
      </c>
      <c r="D10" s="2">
        <v>0.50843548927783644</v>
      </c>
      <c r="E10" s="2">
        <v>1.9974207867726519</v>
      </c>
      <c r="F10" s="2">
        <v>0.56470488517381678</v>
      </c>
      <c r="G10" s="2">
        <v>1.324538695787125</v>
      </c>
      <c r="H10" s="2">
        <v>3.31013966253495</v>
      </c>
      <c r="I10" s="2">
        <v>3.7442128382875421</v>
      </c>
      <c r="J10" s="2">
        <v>3.4446686966273181</v>
      </c>
      <c r="K10" s="2">
        <v>2.2950396035950278</v>
      </c>
      <c r="L10" s="2">
        <v>0.77746342892004439</v>
      </c>
      <c r="M10" s="2">
        <v>2.1164438362158982</v>
      </c>
      <c r="N10" s="2">
        <v>3.6401982071045058</v>
      </c>
      <c r="O10" s="2">
        <v>1.580719198642599</v>
      </c>
      <c r="P10" s="2">
        <v>1.7472064258979181</v>
      </c>
      <c r="Q10" s="2">
        <v>1.727601831769743</v>
      </c>
      <c r="R10" s="2">
        <v>0.81974302603686766</v>
      </c>
      <c r="S10" s="2">
        <v>1.970470455363782</v>
      </c>
      <c r="T10" s="2">
        <v>1.2440087273406291</v>
      </c>
      <c r="U10" s="2">
        <v>0.27596398464246891</v>
      </c>
      <c r="V10" s="2">
        <v>1.3363885318794291</v>
      </c>
      <c r="W10" s="2">
        <v>1.853848435348304</v>
      </c>
      <c r="X10" s="2">
        <v>-0.35845114002787121</v>
      </c>
      <c r="Y10" s="2">
        <v>1.5474549543831759</v>
      </c>
      <c r="Z10" s="2">
        <v>-1.0128790918791151</v>
      </c>
      <c r="AA10" s="2">
        <v>1.5978306695989759</v>
      </c>
      <c r="AB10" s="2">
        <v>-0.48276542332923439</v>
      </c>
      <c r="AC10" s="2">
        <v>-1.189250616394288</v>
      </c>
      <c r="AD10" s="2">
        <v>-1.291153909249809</v>
      </c>
      <c r="AE10" s="2">
        <v>-1.2187573110923</v>
      </c>
      <c r="AF10" s="2">
        <v>-1.0611924946878899</v>
      </c>
      <c r="AG10" s="2">
        <v>0.36532214495379473</v>
      </c>
      <c r="AH10" s="2">
        <v>-0.34895328709109158</v>
      </c>
      <c r="AI10" s="2">
        <v>0.88474904341226956</v>
      </c>
      <c r="AJ10" s="2">
        <v>-0.95619753353720638</v>
      </c>
      <c r="AK10" s="2">
        <v>-0.73611575300217558</v>
      </c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</row>
    <row r="11" spans="1:112" x14ac:dyDescent="0.25">
      <c r="A11" t="s">
        <v>81</v>
      </c>
      <c r="B11" s="2">
        <v>3.3248181329888382</v>
      </c>
      <c r="C11" s="2">
        <v>-3.6225243247277268</v>
      </c>
      <c r="D11" s="2">
        <v>2.951903433922487</v>
      </c>
      <c r="E11" s="2">
        <v>6.4482079036868534</v>
      </c>
      <c r="F11" s="2">
        <v>-1.4383470739176121</v>
      </c>
      <c r="G11" s="2">
        <v>1.287031195383292</v>
      </c>
      <c r="H11" s="2">
        <v>2.955551754489028</v>
      </c>
      <c r="I11" s="2">
        <v>3.329802459382591</v>
      </c>
      <c r="J11" s="2">
        <v>3.0690468141872711</v>
      </c>
      <c r="K11" s="2">
        <v>2.4876003139893581</v>
      </c>
      <c r="L11" s="2">
        <v>2.392501817367076</v>
      </c>
      <c r="M11" s="2">
        <v>1.970461742177521</v>
      </c>
      <c r="N11" s="2">
        <v>2.9982546958950529</v>
      </c>
      <c r="O11" s="2">
        <v>4.2529884840929233</v>
      </c>
      <c r="P11" s="2">
        <v>0.76426703160605847</v>
      </c>
      <c r="Q11" s="2">
        <v>0.43446678920207038</v>
      </c>
      <c r="R11" s="2">
        <v>1.0820956503374111</v>
      </c>
      <c r="S11" s="2">
        <v>2.313897928491393</v>
      </c>
      <c r="T11" s="2">
        <v>1.071345013049974</v>
      </c>
      <c r="U11" s="2">
        <v>2.6948102332737811</v>
      </c>
      <c r="V11" s="2">
        <v>-0.86826385599922951</v>
      </c>
      <c r="W11" s="2">
        <v>-1.322737081852621</v>
      </c>
      <c r="X11" s="2">
        <v>1.6070552864577261</v>
      </c>
      <c r="Y11" s="2">
        <v>1.917410792318774</v>
      </c>
      <c r="Z11" s="2">
        <v>-6.3421024790388802E-2</v>
      </c>
      <c r="AA11" s="2">
        <v>0.18852603492527381</v>
      </c>
      <c r="AB11" s="2">
        <v>-0.32615425300188677</v>
      </c>
      <c r="AC11" s="2">
        <v>2.8827284437005218E-2</v>
      </c>
      <c r="AD11" s="2">
        <v>-1.0556991819025141</v>
      </c>
      <c r="AE11" s="2">
        <v>-0.20319999212111689</v>
      </c>
      <c r="AF11" s="2">
        <v>0.52809931603798876</v>
      </c>
      <c r="AG11" s="2">
        <v>-1.3098550039924659</v>
      </c>
      <c r="AH11" s="2">
        <v>-1.285115593994357</v>
      </c>
      <c r="AI11" s="2">
        <v>-0.76547354179625771</v>
      </c>
      <c r="AJ11" s="2">
        <v>1.6875814153185951</v>
      </c>
      <c r="AK11" s="2">
        <v>-0.98553967643131291</v>
      </c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 x14ac:dyDescent="0.25">
      <c r="A12" t="s">
        <v>82</v>
      </c>
      <c r="B12" s="2">
        <v>-0.81848570608571425</v>
      </c>
      <c r="C12" s="2">
        <v>3.2547191644497708</v>
      </c>
      <c r="D12" s="2">
        <v>0.43596285761082759</v>
      </c>
      <c r="E12" s="2">
        <v>-3.487042294203901</v>
      </c>
      <c r="F12" s="2">
        <v>0.40280400926047122</v>
      </c>
      <c r="G12" s="2">
        <v>3.578037732405615</v>
      </c>
      <c r="H12" s="2">
        <v>2.786271966356058</v>
      </c>
      <c r="I12" s="2">
        <v>6.4041353999825912</v>
      </c>
      <c r="J12" s="2">
        <v>3.4853201377971428</v>
      </c>
      <c r="K12" s="2">
        <v>-0.83433183221963692</v>
      </c>
      <c r="L12" s="2">
        <v>2.0113141151090201</v>
      </c>
      <c r="M12" s="2">
        <v>3.317141515208899</v>
      </c>
      <c r="N12" s="2">
        <v>1.3836963794308319</v>
      </c>
      <c r="O12" s="2">
        <v>2.692023674170319</v>
      </c>
      <c r="P12" s="2">
        <v>3.5043829783428571</v>
      </c>
      <c r="Q12" s="2">
        <v>-0.58747386258104495</v>
      </c>
      <c r="R12" s="2">
        <v>2.1802727551237799</v>
      </c>
      <c r="S12" s="2">
        <v>2.1672259924824471</v>
      </c>
      <c r="T12" s="2">
        <v>0.41059529444333892</v>
      </c>
      <c r="U12" s="2">
        <v>3.1332397184238969</v>
      </c>
      <c r="V12" s="2">
        <v>-6.619998288288631E-2</v>
      </c>
      <c r="W12" s="2">
        <v>0.23360545868238439</v>
      </c>
      <c r="X12" s="2">
        <v>2.4794025193000109</v>
      </c>
      <c r="Y12" s="2">
        <v>1.8025876225361339</v>
      </c>
      <c r="Z12" s="2">
        <v>-0.5366203221070398</v>
      </c>
      <c r="AA12" s="2">
        <v>0.24353427090959559</v>
      </c>
      <c r="AB12" s="2">
        <v>-0.40203722585736568</v>
      </c>
      <c r="AC12" s="2">
        <v>-1.2141255676051179</v>
      </c>
      <c r="AD12" s="2">
        <v>-1.2783717214824519</v>
      </c>
      <c r="AE12" s="2">
        <v>-0.57501861810622668</v>
      </c>
      <c r="AF12" s="2">
        <v>-1.123336999641555</v>
      </c>
      <c r="AG12" s="2">
        <v>-0.51349622294178943</v>
      </c>
      <c r="AH12" s="2">
        <v>0.14831937105703741</v>
      </c>
      <c r="AI12" s="2">
        <v>-1.1999463862879309</v>
      </c>
      <c r="AJ12" s="2">
        <v>1.1427416157916199</v>
      </c>
      <c r="AK12" s="2">
        <v>-1.421436619381178</v>
      </c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 x14ac:dyDescent="0.25">
      <c r="A13" t="s">
        <v>83</v>
      </c>
      <c r="B13" s="2">
        <v>-1.059857363403915</v>
      </c>
      <c r="C13" s="2">
        <v>2.6179964621475542</v>
      </c>
      <c r="D13" s="2">
        <v>4.6002221242100738</v>
      </c>
      <c r="E13" s="2">
        <v>6.6705280182577154</v>
      </c>
      <c r="F13" s="2">
        <v>2.100738644374855</v>
      </c>
      <c r="G13" s="2">
        <v>4.5378933454930834</v>
      </c>
      <c r="H13" s="2">
        <v>1.3479238985131921</v>
      </c>
      <c r="I13" s="2">
        <v>4.7152425441502999</v>
      </c>
      <c r="J13" s="2">
        <v>0.31629528261760692</v>
      </c>
      <c r="K13" s="2">
        <v>1.5511174502856659</v>
      </c>
      <c r="L13" s="2">
        <v>3.7672336177409842</v>
      </c>
      <c r="M13" s="2">
        <v>1.9131801684031839</v>
      </c>
      <c r="N13" s="2">
        <v>2.7002070921671839</v>
      </c>
      <c r="O13" s="2">
        <v>-0.13828553367126739</v>
      </c>
      <c r="P13" s="2">
        <v>3.9082520840110662</v>
      </c>
      <c r="Q13" s="2">
        <v>1.146794946526009</v>
      </c>
      <c r="R13" s="2">
        <v>0.75807252701984851</v>
      </c>
      <c r="S13" s="2">
        <v>1.3594823889369501</v>
      </c>
      <c r="T13" s="2">
        <v>0.1618334705774549</v>
      </c>
      <c r="U13" s="2">
        <v>3.518300162487042</v>
      </c>
      <c r="V13" s="2">
        <v>0.73855525553323531</v>
      </c>
      <c r="W13" s="2">
        <v>-1.823845285609371</v>
      </c>
      <c r="X13" s="2">
        <v>2.749108244243792</v>
      </c>
      <c r="Y13" s="2">
        <v>0.19711375492503791</v>
      </c>
      <c r="Z13" s="2">
        <v>-1.237457656469954</v>
      </c>
      <c r="AA13" s="2">
        <v>1.467442180734557</v>
      </c>
      <c r="AB13" s="2">
        <v>-0.95949108625124069</v>
      </c>
      <c r="AC13" s="2">
        <v>-0.40158725261911782</v>
      </c>
      <c r="AD13" s="2">
        <v>-0.88378286252214222</v>
      </c>
      <c r="AE13" s="2">
        <v>-1.3304769015358151</v>
      </c>
      <c r="AF13" s="2">
        <v>-0.57095691526410919</v>
      </c>
      <c r="AG13" s="2">
        <v>-1.5666938487354449</v>
      </c>
      <c r="AH13" s="2">
        <v>0.31055206149537268</v>
      </c>
      <c r="AI13" s="2">
        <v>0.99688789543348477</v>
      </c>
      <c r="AJ13" s="2">
        <v>-2.1203021469614391</v>
      </c>
      <c r="AK13" s="2">
        <v>-0.1630363932301426</v>
      </c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 s="4" customFormat="1" x14ac:dyDescent="0.25">
      <c r="A14" s="4" t="s">
        <v>86</v>
      </c>
      <c r="B14" s="5">
        <f>+SUMPRODUCT(B3:B13,weight_district!$B$2:$B$12)</f>
        <v>0.68430381629188963</v>
      </c>
      <c r="C14" s="5">
        <f>+SUMPRODUCT(C3:C13,weight_district!$B$2:$B$12)</f>
        <v>1.5208749656178009</v>
      </c>
      <c r="D14" s="5">
        <f>+SUMPRODUCT(D3:D13,weight_district!$B$2:$B$12)</f>
        <v>1.1069505594995925</v>
      </c>
      <c r="E14" s="5">
        <f>+SUMPRODUCT(E3:E13,weight_district!$B$2:$B$12)</f>
        <v>1.5476109991397475</v>
      </c>
      <c r="F14" s="5">
        <f>+SUMPRODUCT(F3:F13,weight_district!$B$2:$B$12)</f>
        <v>1.0211237829731614</v>
      </c>
      <c r="G14" s="5">
        <f>+SUMPRODUCT(G3:G13,weight_district!$B$2:$B$12)</f>
        <v>2.3560543391381312</v>
      </c>
      <c r="H14" s="5">
        <f>+SUMPRODUCT(H3:H13,weight_district!$B$2:$B$12)</f>
        <v>2.5788963983061182</v>
      </c>
      <c r="I14" s="5">
        <f>+SUMPRODUCT(I3:I13,weight_district!$B$2:$B$12)</f>
        <v>4.0522267045950242</v>
      </c>
      <c r="J14" s="5">
        <f>+SUMPRODUCT(J3:J13,weight_district!$B$2:$B$12)</f>
        <v>2.1062283699491133</v>
      </c>
      <c r="K14" s="5">
        <f>+SUMPRODUCT(K3:K13,weight_district!$B$2:$B$12)</f>
        <v>1.0984372131869902</v>
      </c>
      <c r="L14" s="5">
        <f>+SUMPRODUCT(L3:L13,weight_district!$B$2:$B$12)</f>
        <v>1.7514821738164978</v>
      </c>
      <c r="M14" s="5">
        <f>+SUMPRODUCT(M3:M13,weight_district!$B$2:$B$12)</f>
        <v>3.2876743487412949</v>
      </c>
      <c r="N14" s="5">
        <f>+SUMPRODUCT(N3:N13,weight_district!$B$2:$B$12)</f>
        <v>3.0434576361778078</v>
      </c>
      <c r="O14" s="5">
        <f>+SUMPRODUCT(O3:O13,weight_district!$B$2:$B$12)</f>
        <v>2.266813918980906</v>
      </c>
      <c r="P14" s="5">
        <f>+SUMPRODUCT(P3:P13,weight_district!$B$2:$B$12)</f>
        <v>1.7233227362211569</v>
      </c>
      <c r="Q14" s="5">
        <f>+SUMPRODUCT(Q3:Q13,weight_district!$B$2:$B$12)</f>
        <v>0.830218040645329</v>
      </c>
      <c r="R14" s="5">
        <f>+SUMPRODUCT(R3:R13,weight_district!$B$2:$B$12)</f>
        <v>1.8353169918997123</v>
      </c>
      <c r="S14" s="5">
        <f>+SUMPRODUCT(S3:S13,weight_district!$B$2:$B$12)</f>
        <v>1.3703675880202608</v>
      </c>
      <c r="T14" s="5">
        <f>+SUMPRODUCT(T3:T13,weight_district!$B$2:$B$12)</f>
        <v>0.38090449444730484</v>
      </c>
      <c r="U14" s="5">
        <f>+SUMPRODUCT(U3:U13,weight_district!$B$2:$B$12)</f>
        <v>2.1849537971509334</v>
      </c>
      <c r="V14" s="5">
        <f>+SUMPRODUCT(V3:V13,weight_district!$B$2:$B$12)</f>
        <v>0.89714432562609403</v>
      </c>
      <c r="W14" s="5">
        <f>+SUMPRODUCT(W3:W13,weight_district!$B$2:$B$12)</f>
        <v>7.1669696204692629E-2</v>
      </c>
      <c r="X14" s="5">
        <f>+SUMPRODUCT(X3:X13,weight_district!$B$2:$B$12)</f>
        <v>0.98815346409805249</v>
      </c>
      <c r="Y14" s="5">
        <f>+SUMPRODUCT(Y3:Y13,weight_district!$B$2:$B$12)</f>
        <v>1.5111379447222366</v>
      </c>
      <c r="Z14" s="5">
        <f>+SUMPRODUCT(Z3:Z13,weight_district!$B$2:$B$12)</f>
        <v>-9.8179568418576002E-3</v>
      </c>
      <c r="AA14" s="5">
        <f>+SUMPRODUCT(AA3:AA13,weight_district!$B$2:$B$12)</f>
        <v>0.27379485356758815</v>
      </c>
      <c r="AB14" s="5">
        <f>+SUMPRODUCT(AB3:AB13,weight_district!$B$2:$B$12)</f>
        <v>-0.69916376617528597</v>
      </c>
      <c r="AC14" s="5">
        <f>+SUMPRODUCT(AC3:AC13,weight_district!$B$2:$B$12)</f>
        <v>-1.0360663890047612</v>
      </c>
      <c r="AD14" s="5">
        <f>+SUMPRODUCT(AD3:AD13,weight_district!$B$2:$B$12)</f>
        <v>-0.85382276324051842</v>
      </c>
      <c r="AE14" s="5">
        <f>+SUMPRODUCT(AE3:AE13,weight_district!$B$2:$B$12)</f>
        <v>-0.74991863303065542</v>
      </c>
      <c r="AF14" s="5">
        <f>+SUMPRODUCT(AF3:AF13,weight_district!$B$2:$B$12)</f>
        <v>-0.2279898212436372</v>
      </c>
      <c r="AG14" s="5">
        <f>+SUMPRODUCT(AG3:AG13,weight_district!$B$2:$B$12)</f>
        <v>-1.2069554211213276</v>
      </c>
      <c r="AH14" s="5">
        <f>+SUMPRODUCT(AH3:AH13,weight_district!$B$2:$B$12)</f>
        <v>-0.28328574962423642</v>
      </c>
      <c r="AI14" s="5">
        <f>+SUMPRODUCT(AI3:AI13,weight_district!$B$2:$B$12)</f>
        <v>0.43304164142825818</v>
      </c>
      <c r="AJ14" s="5">
        <f>+SUMPRODUCT(AJ3:AJ13,weight_district!$B$2:$B$12)</f>
        <v>-0.57900212652774363</v>
      </c>
      <c r="AK14" s="5">
        <f>+SUMPRODUCT(AK3:AK13,weight_district!$B$2:$B$12)</f>
        <v>-0.30716817623476322</v>
      </c>
    </row>
    <row r="15" spans="1:112" s="6" customFormat="1" x14ac:dyDescent="0.25">
      <c r="A15" s="6">
        <v>100</v>
      </c>
      <c r="B15" s="7">
        <f>+A15*(1+B14/100)</f>
        <v>100.6843038162919</v>
      </c>
      <c r="C15" s="7">
        <f>+B15*(1+C14/100)</f>
        <v>102.21558618734045</v>
      </c>
      <c r="D15" s="7">
        <f t="shared" ref="D15:AK15" si="0">+C15*(1+D14/100)</f>
        <v>103.347062190537</v>
      </c>
      <c r="E15" s="7">
        <f t="shared" si="0"/>
        <v>104.94647269228554</v>
      </c>
      <c r="F15" s="7">
        <f t="shared" si="0"/>
        <v>106.0181060843379</v>
      </c>
      <c r="G15" s="7">
        <f t="shared" si="0"/>
        <v>108.51595027301001</v>
      </c>
      <c r="H15" s="7">
        <f t="shared" si="0"/>
        <v>111.3144642061883</v>
      </c>
      <c r="I15" s="7">
        <f t="shared" si="0"/>
        <v>115.82517865082833</v>
      </c>
      <c r="J15" s="7">
        <f t="shared" si="0"/>
        <v>118.26472142311633</v>
      </c>
      <c r="K15" s="7">
        <f t="shared" si="0"/>
        <v>119.56378513329976</v>
      </c>
      <c r="L15" s="7">
        <f t="shared" si="0"/>
        <v>121.65792351624975</v>
      </c>
      <c r="M15" s="7">
        <f t="shared" si="0"/>
        <v>125.65763986090479</v>
      </c>
      <c r="N15" s="7">
        <f t="shared" si="0"/>
        <v>129.48197689669232</v>
      </c>
      <c r="O15" s="7">
        <f t="shared" si="0"/>
        <v>132.4170923715582</v>
      </c>
      <c r="P15" s="7">
        <f t="shared" si="0"/>
        <v>134.69906623104023</v>
      </c>
      <c r="Q15" s="7">
        <f t="shared" si="0"/>
        <v>135.81736217947113</v>
      </c>
      <c r="R15" s="7">
        <f t="shared" si="0"/>
        <v>138.31004130550093</v>
      </c>
      <c r="S15" s="7">
        <f t="shared" si="0"/>
        <v>140.20539728252896</v>
      </c>
      <c r="T15" s="7">
        <f t="shared" si="0"/>
        <v>140.73944594223582</v>
      </c>
      <c r="U15" s="7">
        <f t="shared" si="0"/>
        <v>143.81453781043987</v>
      </c>
      <c r="V15" s="7">
        <f t="shared" si="0"/>
        <v>145.10476177583161</v>
      </c>
      <c r="W15" s="7">
        <f t="shared" si="0"/>
        <v>145.20875791777488</v>
      </c>
      <c r="X15" s="7">
        <f t="shared" si="0"/>
        <v>146.64364328931313</v>
      </c>
      <c r="Y15" s="7">
        <f t="shared" si="0"/>
        <v>148.85963102658107</v>
      </c>
      <c r="Z15" s="7">
        <f t="shared" si="0"/>
        <v>148.84501605225194</v>
      </c>
      <c r="AA15" s="7">
        <f t="shared" si="0"/>
        <v>149.25254604599485</v>
      </c>
      <c r="AB15" s="7">
        <f t="shared" si="0"/>
        <v>148.20902632394717</v>
      </c>
      <c r="AC15" s="7">
        <f t="shared" si="0"/>
        <v>146.67348241673352</v>
      </c>
      <c r="AD15" s="7">
        <f t="shared" si="0"/>
        <v>145.42115083622187</v>
      </c>
      <c r="AE15" s="7">
        <f t="shared" si="0"/>
        <v>144.33061052973343</v>
      </c>
      <c r="AF15" s="7">
        <f t="shared" si="0"/>
        <v>144.00155142878685</v>
      </c>
      <c r="AG15" s="7">
        <f t="shared" si="0"/>
        <v>142.26351689731831</v>
      </c>
      <c r="AH15" s="7">
        <f t="shared" si="0"/>
        <v>141.86050462703395</v>
      </c>
      <c r="AI15" s="7">
        <f t="shared" si="0"/>
        <v>142.47481968480926</v>
      </c>
      <c r="AJ15" s="7">
        <f t="shared" si="0"/>
        <v>141.64988744906765</v>
      </c>
      <c r="AK15" s="7">
        <f t="shared" si="0"/>
        <v>141.21478407315175</v>
      </c>
      <c r="AL15" s="7"/>
      <c r="AM15" s="7"/>
    </row>
    <row r="16" spans="1:112" s="6" customFormat="1" x14ac:dyDescent="0.25">
      <c r="C16" s="7"/>
      <c r="AK16" s="6">
        <f>+AK15/Y15-1</f>
        <v>-5.1356078882556333E-2</v>
      </c>
    </row>
    <row r="17" spans="1:37" ht="45" x14ac:dyDescent="0.25">
      <c r="A17" s="1" t="s">
        <v>0</v>
      </c>
      <c r="B17" s="3" t="s">
        <v>37</v>
      </c>
      <c r="C17" s="3" t="s">
        <v>38</v>
      </c>
      <c r="D17" s="3" t="s">
        <v>39</v>
      </c>
      <c r="E17" s="3" t="s">
        <v>40</v>
      </c>
      <c r="F17" s="3" t="s">
        <v>41</v>
      </c>
      <c r="G17" s="3" t="s">
        <v>42</v>
      </c>
      <c r="H17" s="3" t="s">
        <v>43</v>
      </c>
      <c r="I17" s="3" t="s">
        <v>44</v>
      </c>
      <c r="J17" s="3" t="s">
        <v>45</v>
      </c>
      <c r="K17" s="3" t="s">
        <v>46</v>
      </c>
      <c r="L17" s="3" t="s">
        <v>47</v>
      </c>
      <c r="M17" s="3" t="s">
        <v>48</v>
      </c>
      <c r="N17" s="3" t="s">
        <v>49</v>
      </c>
      <c r="O17" s="3" t="s">
        <v>50</v>
      </c>
      <c r="P17" s="3" t="s">
        <v>51</v>
      </c>
      <c r="Q17" s="3" t="s">
        <v>52</v>
      </c>
      <c r="R17" s="3" t="s">
        <v>53</v>
      </c>
      <c r="S17" s="3" t="s">
        <v>54</v>
      </c>
      <c r="T17" s="3" t="s">
        <v>55</v>
      </c>
      <c r="U17" s="3" t="s">
        <v>56</v>
      </c>
      <c r="V17" s="3" t="s">
        <v>57</v>
      </c>
      <c r="W17" s="3" t="s">
        <v>58</v>
      </c>
      <c r="X17" s="3" t="s">
        <v>59</v>
      </c>
      <c r="Y17" s="3" t="s">
        <v>60</v>
      </c>
      <c r="Z17" s="3" t="s">
        <v>61</v>
      </c>
      <c r="AA17" s="3" t="s">
        <v>62</v>
      </c>
      <c r="AB17" s="3" t="s">
        <v>63</v>
      </c>
      <c r="AC17" s="3" t="s">
        <v>64</v>
      </c>
      <c r="AD17" s="3" t="s">
        <v>65</v>
      </c>
      <c r="AE17" s="3" t="s">
        <v>66</v>
      </c>
      <c r="AF17" s="3" t="s">
        <v>67</v>
      </c>
      <c r="AG17" s="3" t="s">
        <v>68</v>
      </c>
      <c r="AH17" s="3" t="s">
        <v>69</v>
      </c>
      <c r="AI17" s="3" t="s">
        <v>70</v>
      </c>
      <c r="AJ17" s="3" t="s">
        <v>71</v>
      </c>
      <c r="AK17" s="3" t="s">
        <v>72</v>
      </c>
    </row>
    <row r="18" spans="1:37" x14ac:dyDescent="0.25">
      <c r="A18" t="s">
        <v>73</v>
      </c>
      <c r="B18" s="2">
        <v>-3.4492974135833192</v>
      </c>
      <c r="C18" s="2">
        <v>-1.3916479852675741</v>
      </c>
      <c r="D18" s="2">
        <v>-0.35252382919377379</v>
      </c>
      <c r="E18" s="2">
        <v>21.083012587754531</v>
      </c>
      <c r="F18" s="2">
        <v>-10.14301515309505</v>
      </c>
      <c r="G18" s="2">
        <v>-11.76877593369113</v>
      </c>
      <c r="H18" s="2">
        <v>16.083009175471851</v>
      </c>
      <c r="I18" s="2">
        <v>12.832083097170299</v>
      </c>
      <c r="J18" s="2">
        <v>9.5490213408237814</v>
      </c>
      <c r="K18" s="2">
        <v>-2.4098851199285898</v>
      </c>
      <c r="L18" s="2">
        <v>-6.8498061196542794</v>
      </c>
      <c r="M18" s="2">
        <v>-1.3064095538067531</v>
      </c>
      <c r="N18" s="2">
        <v>-3.0858649912936631</v>
      </c>
      <c r="O18" s="2">
        <v>3.545545090642177</v>
      </c>
      <c r="P18" s="2">
        <v>-2.5434424100610138</v>
      </c>
      <c r="Q18" s="2">
        <v>-0.1849382371954644</v>
      </c>
      <c r="R18" s="2">
        <v>1.4387677528263201</v>
      </c>
      <c r="S18" s="2">
        <v>3.8351163585486292</v>
      </c>
      <c r="T18" s="2">
        <v>1.4028622919241449</v>
      </c>
      <c r="U18" s="2">
        <v>-4.0050948961784734</v>
      </c>
      <c r="V18" s="2">
        <v>1.6767146237359309</v>
      </c>
      <c r="W18" s="2">
        <v>4.1359624182268018</v>
      </c>
      <c r="X18" s="2">
        <v>4.8204630740348753</v>
      </c>
      <c r="Y18" s="2">
        <v>7.3479218524926004</v>
      </c>
      <c r="Z18" s="2">
        <v>13.784834798684621</v>
      </c>
      <c r="AA18" s="2">
        <v>1.172901431547047</v>
      </c>
      <c r="AB18" s="2">
        <v>2.724161035990913</v>
      </c>
      <c r="AC18" s="2">
        <v>1.4057577250351729</v>
      </c>
      <c r="AD18" s="2">
        <v>1.1314791751533939</v>
      </c>
      <c r="AE18" s="2">
        <v>-1.836289017311032</v>
      </c>
      <c r="AF18" s="2">
        <v>-1.0082599488920649</v>
      </c>
      <c r="AG18" s="2">
        <v>0.2259112747875269</v>
      </c>
      <c r="AH18" s="2">
        <v>0.18120110695276639</v>
      </c>
      <c r="AI18" s="2">
        <v>-1.541925055778792</v>
      </c>
      <c r="AJ18" s="2">
        <v>0.81962258953809375</v>
      </c>
      <c r="AK18" s="2">
        <v>2.1621688976744209</v>
      </c>
    </row>
    <row r="19" spans="1:37" x14ac:dyDescent="0.25">
      <c r="A19" t="s">
        <v>74</v>
      </c>
      <c r="B19" s="2">
        <v>-4.1050508218199777</v>
      </c>
      <c r="C19" s="2">
        <v>13.90305369617224</v>
      </c>
      <c r="D19" s="2">
        <v>-8.6290711414716785</v>
      </c>
      <c r="E19" s="2">
        <v>-1.207120890533975</v>
      </c>
      <c r="F19" s="2">
        <v>1.2331653225966519</v>
      </c>
      <c r="G19" s="2">
        <v>0.95684715065362802</v>
      </c>
      <c r="H19" s="2">
        <v>3.6291594226427031</v>
      </c>
      <c r="I19" s="2">
        <v>2.981867565993479</v>
      </c>
      <c r="J19" s="2">
        <v>2.1614969180122841</v>
      </c>
      <c r="K19" s="2">
        <v>1.4240920602943019</v>
      </c>
      <c r="L19" s="2">
        <v>1.4211737402067159</v>
      </c>
      <c r="M19" s="2">
        <v>-1.4158875644167961</v>
      </c>
      <c r="N19" s="2">
        <v>5.7114618300043274</v>
      </c>
      <c r="O19" s="2">
        <v>0.67232172201858731</v>
      </c>
      <c r="P19" s="2">
        <v>2.6461901850330931</v>
      </c>
      <c r="Q19" s="2">
        <v>0.37674187756384647</v>
      </c>
      <c r="R19" s="2">
        <v>8.1043761157717498E-2</v>
      </c>
      <c r="S19" s="2">
        <v>3.457981707670732</v>
      </c>
      <c r="T19" s="2">
        <v>-1.1717720507998799</v>
      </c>
      <c r="U19" s="2">
        <v>-2.3253839618634138</v>
      </c>
      <c r="V19" s="2">
        <v>1.481660538569574</v>
      </c>
      <c r="W19" s="2">
        <v>4.6160938052724587</v>
      </c>
      <c r="X19" s="2">
        <v>2.4241757838432192</v>
      </c>
      <c r="Y19" s="2">
        <v>1.891399313878561</v>
      </c>
      <c r="Z19" s="2">
        <v>0.12770299017146319</v>
      </c>
      <c r="AA19" s="2">
        <v>0.84572024384113043</v>
      </c>
      <c r="AB19" s="2">
        <v>0.83614974506842632</v>
      </c>
      <c r="AC19" s="2">
        <v>-0.38271510874220432</v>
      </c>
      <c r="AD19" s="2">
        <v>-0.91908507871694134</v>
      </c>
      <c r="AE19" s="2">
        <v>-1.4074349562317461</v>
      </c>
      <c r="AF19" s="2">
        <v>-2.364035585851743</v>
      </c>
      <c r="AG19" s="2">
        <v>-1.4108181462680669</v>
      </c>
      <c r="AH19" s="2">
        <v>1.096417262838401</v>
      </c>
      <c r="AI19" s="2">
        <v>-1.842209083907709</v>
      </c>
      <c r="AJ19" s="2">
        <v>4.3896920015314089</v>
      </c>
      <c r="AK19" s="2">
        <v>2.031256124170389</v>
      </c>
    </row>
    <row r="20" spans="1:37" x14ac:dyDescent="0.25">
      <c r="A20" t="s">
        <v>75</v>
      </c>
      <c r="B20" s="2">
        <v>12.79518033617755</v>
      </c>
      <c r="C20" s="2">
        <v>4.0251692867408151</v>
      </c>
      <c r="D20" s="2">
        <v>15.737501896973271</v>
      </c>
      <c r="E20" s="2">
        <v>6.2638598776060039</v>
      </c>
      <c r="F20" s="2">
        <v>-3.4358860065974987E-2</v>
      </c>
      <c r="G20" s="2">
        <v>0.45173847629056407</v>
      </c>
      <c r="H20" s="2">
        <v>1.583371318678251</v>
      </c>
      <c r="I20" s="2">
        <v>6.1658020464531171</v>
      </c>
      <c r="J20" s="2">
        <v>-3.5183479616186619</v>
      </c>
      <c r="K20" s="2">
        <v>2.6180580995452729</v>
      </c>
      <c r="L20" s="2">
        <v>4.5574038040250731</v>
      </c>
      <c r="M20" s="2">
        <v>9.3171487844122112</v>
      </c>
      <c r="N20" s="2">
        <v>-7.6742613635505386E-2</v>
      </c>
      <c r="O20" s="2">
        <v>1.794789622615967</v>
      </c>
      <c r="P20" s="2">
        <v>3.1139824997286509</v>
      </c>
      <c r="Q20" s="2">
        <v>1.258076663201702</v>
      </c>
      <c r="R20" s="2">
        <v>-0.24979821595210169</v>
      </c>
      <c r="S20" s="2">
        <v>8.9793029141229663</v>
      </c>
      <c r="T20" s="2">
        <v>7.814163012307862</v>
      </c>
      <c r="U20" s="2">
        <v>-4.9514445915106009</v>
      </c>
      <c r="V20" s="2">
        <v>3.104421487121134</v>
      </c>
      <c r="W20" s="2">
        <v>-2.945495082544991</v>
      </c>
      <c r="X20" s="2">
        <v>1.9227495107770001</v>
      </c>
      <c r="Y20" s="2">
        <v>-0.56162400444944582</v>
      </c>
      <c r="Z20" s="2">
        <v>-1.826193453453262</v>
      </c>
      <c r="AA20" s="2">
        <v>-5.7809216284587787E-2</v>
      </c>
      <c r="AB20" s="2">
        <v>1.576526121353661</v>
      </c>
      <c r="AC20" s="2">
        <v>-1.300190030117288</v>
      </c>
      <c r="AD20" s="2">
        <v>-4.263761326584115</v>
      </c>
      <c r="AE20" s="2">
        <v>0.3178594800337553</v>
      </c>
      <c r="AF20" s="2">
        <v>2.8717364469378781</v>
      </c>
      <c r="AG20" s="2">
        <v>-9.8487819027926022</v>
      </c>
      <c r="AH20" s="2">
        <v>-7.790185468314526</v>
      </c>
      <c r="AI20" s="2">
        <v>4.3540229109384931</v>
      </c>
      <c r="AJ20" s="2">
        <v>2.0480307833335099</v>
      </c>
      <c r="AK20" s="2">
        <v>5.6337101927365074</v>
      </c>
    </row>
    <row r="21" spans="1:37" x14ac:dyDescent="0.25">
      <c r="A21" t="s">
        <v>76</v>
      </c>
      <c r="B21" s="2">
        <v>2.2189300749533292</v>
      </c>
      <c r="C21" s="2">
        <v>-0.99973639145257698</v>
      </c>
      <c r="D21" s="2">
        <v>5.7793001764931962</v>
      </c>
      <c r="E21" s="2">
        <v>13.11900527457688</v>
      </c>
      <c r="F21" s="2">
        <v>2.1709196911188671</v>
      </c>
      <c r="G21" s="2">
        <v>2.6650568579899452</v>
      </c>
      <c r="H21" s="2">
        <v>2.5889545322836942</v>
      </c>
      <c r="I21" s="2">
        <v>4.5608113035186193</v>
      </c>
      <c r="J21" s="2">
        <v>0.46646674275525601</v>
      </c>
      <c r="K21" s="2">
        <v>-2.5546812076327252</v>
      </c>
      <c r="L21" s="2">
        <v>4.0676609261333763</v>
      </c>
      <c r="M21" s="2">
        <v>4.319521860735076</v>
      </c>
      <c r="N21" s="2">
        <v>3.5012555017061691</v>
      </c>
      <c r="O21" s="2">
        <v>2.9747925764613159</v>
      </c>
      <c r="P21" s="2">
        <v>0.73547709191303934</v>
      </c>
      <c r="Q21" s="2">
        <v>1.012863715203127</v>
      </c>
      <c r="R21" s="2">
        <v>2.0342361877705439</v>
      </c>
      <c r="S21" s="2">
        <v>1.4788569869113919</v>
      </c>
      <c r="T21" s="2">
        <v>-0.35370665333973589</v>
      </c>
      <c r="U21" s="2">
        <v>3.9016403574373189</v>
      </c>
      <c r="V21" s="2">
        <v>3.6915526633026552</v>
      </c>
      <c r="W21" s="2">
        <v>-1.1307726726160869</v>
      </c>
      <c r="X21" s="2">
        <v>-1.2002443354069749</v>
      </c>
      <c r="Y21" s="2">
        <v>2.3193587110396101</v>
      </c>
      <c r="Z21" s="2">
        <v>-1.2396997018257361</v>
      </c>
      <c r="AA21" s="2">
        <v>0.45490560397443153</v>
      </c>
      <c r="AB21" s="2">
        <v>-0.83220043484256712</v>
      </c>
      <c r="AC21" s="2">
        <v>-0.1147147344219501</v>
      </c>
      <c r="AD21" s="2">
        <v>-0.99851064555451785</v>
      </c>
      <c r="AE21" s="2">
        <v>-0.42966861677483648</v>
      </c>
      <c r="AF21" s="2">
        <v>0.61927514142710027</v>
      </c>
      <c r="AG21" s="2">
        <v>-3.4868268451704321E-2</v>
      </c>
      <c r="AH21" s="2">
        <v>-6.7798908885827291</v>
      </c>
      <c r="AI21" s="2">
        <v>-1.3504962050274629</v>
      </c>
      <c r="AJ21" s="2">
        <v>1.293159559609802</v>
      </c>
      <c r="AK21" s="2">
        <v>2.669642862032418</v>
      </c>
    </row>
    <row r="22" spans="1:37" x14ac:dyDescent="0.25">
      <c r="A22" t="s">
        <v>77</v>
      </c>
      <c r="B22" s="2">
        <v>-0.83868069513984844</v>
      </c>
      <c r="C22" s="2">
        <v>3.3424434323905632</v>
      </c>
      <c r="D22" s="2">
        <v>-0.42137288840645709</v>
      </c>
      <c r="E22" s="2">
        <v>6.9579994720999627</v>
      </c>
      <c r="F22" s="2">
        <v>9.4172524273835165</v>
      </c>
      <c r="G22" s="2">
        <v>12.12132385829559</v>
      </c>
      <c r="H22" s="2">
        <v>-2.441539112659119</v>
      </c>
      <c r="I22" s="2">
        <v>7.10416152344584</v>
      </c>
      <c r="J22" s="2">
        <v>2.0719656901078132</v>
      </c>
      <c r="K22" s="2">
        <v>-14.44694940193307</v>
      </c>
      <c r="L22" s="2">
        <v>3.9025591258818881</v>
      </c>
      <c r="M22" s="2">
        <v>-1.802421009928634</v>
      </c>
      <c r="N22" s="2">
        <v>2.1754848058394449</v>
      </c>
      <c r="O22" s="2">
        <v>0.59630733682440873</v>
      </c>
      <c r="P22" s="2">
        <v>3.4250126658577522</v>
      </c>
      <c r="Q22" s="2">
        <v>2.1963575064928298</v>
      </c>
      <c r="R22" s="2">
        <v>-0.95544705299349664</v>
      </c>
      <c r="S22" s="2">
        <v>3.4448760374106158E-2</v>
      </c>
      <c r="T22" s="2">
        <v>-1.8926496020893471</v>
      </c>
      <c r="U22" s="2">
        <v>1.355344727557517</v>
      </c>
      <c r="V22" s="2">
        <v>1.7917512120784851</v>
      </c>
      <c r="W22" s="2">
        <v>4.2717213966378056</v>
      </c>
      <c r="X22" s="2">
        <v>-0.56752805882562818</v>
      </c>
      <c r="Y22" s="2">
        <v>0.70954391153228435</v>
      </c>
      <c r="Z22" s="2">
        <v>-1.9050934279497329</v>
      </c>
      <c r="AA22" s="2">
        <v>0.29036637860870851</v>
      </c>
      <c r="AB22" s="2">
        <v>1.364705498785312E-3</v>
      </c>
      <c r="AC22" s="2">
        <v>-2.7540180435214889E-2</v>
      </c>
      <c r="AD22" s="2">
        <v>-0.37259062963940209</v>
      </c>
      <c r="AE22" s="2">
        <v>-0.32690885772480582</v>
      </c>
      <c r="AF22" s="2">
        <v>3.2910465327504301</v>
      </c>
      <c r="AG22" s="2">
        <v>-5.0208227038277098</v>
      </c>
      <c r="AH22" s="2">
        <v>3.7632923115311412</v>
      </c>
      <c r="AI22" s="2">
        <v>-0.2915359287223751</v>
      </c>
      <c r="AJ22" s="2">
        <v>-1.5120722343490269</v>
      </c>
      <c r="AK22" s="2">
        <v>1.4098194290184329</v>
      </c>
    </row>
    <row r="23" spans="1:37" x14ac:dyDescent="0.25">
      <c r="A23" t="s">
        <v>78</v>
      </c>
      <c r="B23" s="2">
        <v>2.001275355023457</v>
      </c>
      <c r="C23" s="2">
        <v>1.5280861490216679</v>
      </c>
      <c r="D23" s="2">
        <v>1.852597129932088</v>
      </c>
      <c r="E23" s="2">
        <v>-13.50293149634591</v>
      </c>
      <c r="F23" s="2">
        <v>0.86795509825712269</v>
      </c>
      <c r="G23" s="2">
        <v>1.8979676336079001</v>
      </c>
      <c r="H23" s="2">
        <v>4.8361697345455026</v>
      </c>
      <c r="I23" s="2">
        <v>3.8861365985754852</v>
      </c>
      <c r="J23" s="2">
        <v>4.0609332998965186</v>
      </c>
      <c r="K23" s="2">
        <v>-1.2029008215176611</v>
      </c>
      <c r="L23" s="2">
        <v>1.863713049697924</v>
      </c>
      <c r="M23" s="2">
        <v>3.215914382526996</v>
      </c>
      <c r="N23" s="2">
        <v>2.6625476104111372</v>
      </c>
      <c r="O23" s="2">
        <v>0.20017435887591531</v>
      </c>
      <c r="P23" s="2">
        <v>1.6076314963957561</v>
      </c>
      <c r="Q23" s="2">
        <v>-0.17338759095790751</v>
      </c>
      <c r="R23" s="2">
        <v>1.968936477559025</v>
      </c>
      <c r="S23" s="2">
        <v>0.24226294450611091</v>
      </c>
      <c r="T23" s="2">
        <v>2.9713873689321209</v>
      </c>
      <c r="U23" s="2">
        <v>-2.4007721997115978</v>
      </c>
      <c r="V23" s="2">
        <v>-2.7600912211060868</v>
      </c>
      <c r="W23" s="2">
        <v>4.7763729982703396</v>
      </c>
      <c r="X23" s="2">
        <v>2.8874096952981492</v>
      </c>
      <c r="Y23" s="2">
        <v>-1.123005629729235</v>
      </c>
      <c r="Z23" s="2">
        <v>0.22244408083174069</v>
      </c>
      <c r="AA23" s="2">
        <v>1.049686959506801</v>
      </c>
      <c r="AB23" s="2">
        <v>-1.035917189017566</v>
      </c>
      <c r="AC23" s="2">
        <v>-1.3970915629979761</v>
      </c>
      <c r="AD23" s="2">
        <v>-0.56683753068348386</v>
      </c>
      <c r="AE23" s="2">
        <v>-1.3045646327565219</v>
      </c>
      <c r="AF23" s="2">
        <v>-1.2527369538593121</v>
      </c>
      <c r="AG23" s="2">
        <v>0.99650216884661358</v>
      </c>
      <c r="AH23" s="2">
        <v>0.38452983942853791</v>
      </c>
      <c r="AI23" s="2">
        <v>-0.9043865770383408</v>
      </c>
      <c r="AJ23" s="2">
        <v>1.012665012647429</v>
      </c>
      <c r="AK23" s="2">
        <v>-0.20313486104023279</v>
      </c>
    </row>
    <row r="24" spans="1:37" x14ac:dyDescent="0.25">
      <c r="A24" t="s">
        <v>79</v>
      </c>
      <c r="B24" s="2">
        <v>3.686381545405526</v>
      </c>
      <c r="C24" s="2">
        <v>-8.295437463483978</v>
      </c>
      <c r="D24" s="2">
        <v>16.411328143692749</v>
      </c>
      <c r="E24" s="2">
        <v>19.09458574996021</v>
      </c>
      <c r="F24" s="2">
        <v>0.83186204798850749</v>
      </c>
      <c r="G24" s="2">
        <v>1.180370597750557</v>
      </c>
      <c r="H24" s="2">
        <v>1.90158438607495</v>
      </c>
      <c r="I24" s="2">
        <v>3.705945000439681</v>
      </c>
      <c r="J24" s="2">
        <v>-4.7061324010729821</v>
      </c>
      <c r="K24" s="2">
        <v>10.02241538820692</v>
      </c>
      <c r="L24" s="2">
        <v>6.7461563021817827</v>
      </c>
      <c r="M24" s="2">
        <v>-0.15991896506978301</v>
      </c>
      <c r="N24" s="2">
        <v>-0.82625538031838586</v>
      </c>
      <c r="O24" s="2">
        <v>4.9382858599846591</v>
      </c>
      <c r="P24" s="2">
        <v>1.1677575938903839</v>
      </c>
      <c r="Q24" s="2">
        <v>4.1252570537321231</v>
      </c>
      <c r="R24" s="2">
        <v>3.7449639872412899</v>
      </c>
      <c r="S24" s="2">
        <v>-0.68223885691061081</v>
      </c>
      <c r="T24" s="2">
        <v>7.2290886448602487</v>
      </c>
      <c r="U24" s="2">
        <v>-7.5919959834696904</v>
      </c>
      <c r="V24" s="2">
        <v>-2.8136202738343612</v>
      </c>
      <c r="W24" s="2">
        <v>-3.2266588386499762</v>
      </c>
      <c r="X24" s="2">
        <v>4.2036091776760376</v>
      </c>
      <c r="Y24" s="2">
        <v>-2.0021387540355651</v>
      </c>
      <c r="Z24" s="2">
        <v>3.5104693505725089</v>
      </c>
      <c r="AA24" s="2">
        <v>1.0905523552688481</v>
      </c>
      <c r="AB24" s="2">
        <v>-4.408453934749379</v>
      </c>
      <c r="AC24" s="2">
        <v>-0.70923859106595266</v>
      </c>
      <c r="AD24" s="2">
        <v>-0.26384851763916473</v>
      </c>
      <c r="AE24" s="2">
        <v>1.188222565452324</v>
      </c>
      <c r="AF24" s="2">
        <v>-0.54248393970193209</v>
      </c>
      <c r="AG24" s="2">
        <v>5.7481096563882117</v>
      </c>
      <c r="AH24" s="2">
        <v>-3.45338436299919</v>
      </c>
      <c r="AI24" s="2">
        <v>-8.837904105683581</v>
      </c>
      <c r="AJ24" s="2">
        <v>-6.9096803200956556</v>
      </c>
      <c r="AK24" s="2">
        <v>4.0525811732376349</v>
      </c>
    </row>
    <row r="25" spans="1:37" x14ac:dyDescent="0.25">
      <c r="A25" t="s">
        <v>80</v>
      </c>
      <c r="B25" s="2">
        <v>2.8924361605782818</v>
      </c>
      <c r="C25" s="2">
        <v>2.02945920735027</v>
      </c>
      <c r="D25" s="2">
        <v>-2.4027873861363509</v>
      </c>
      <c r="E25" s="2">
        <v>0.14383644087985201</v>
      </c>
      <c r="F25" s="2">
        <v>-0.743595403532471</v>
      </c>
      <c r="G25" s="2">
        <v>4.4813027577511821</v>
      </c>
      <c r="H25" s="2">
        <v>5.6162508670064337</v>
      </c>
      <c r="I25" s="2">
        <v>2.2795931662119351</v>
      </c>
      <c r="J25" s="2">
        <v>28.783048222602179</v>
      </c>
      <c r="K25" s="2">
        <v>-18.52077851273858</v>
      </c>
      <c r="L25" s="2">
        <v>1.708937909949904</v>
      </c>
      <c r="M25" s="2">
        <v>0.31819253364882011</v>
      </c>
      <c r="N25" s="2">
        <v>-0.3581127312917709</v>
      </c>
      <c r="O25" s="2">
        <v>-0.35579174384067208</v>
      </c>
      <c r="P25" s="2">
        <v>4.7611921888312434</v>
      </c>
      <c r="Q25" s="2">
        <v>1.550965280207905</v>
      </c>
      <c r="R25" s="2">
        <v>-3.3559461789931628</v>
      </c>
      <c r="S25" s="2">
        <v>4.0547902632746213</v>
      </c>
      <c r="T25" s="2">
        <v>12.133846879413611</v>
      </c>
      <c r="U25" s="2">
        <v>-2.7455007499481039</v>
      </c>
      <c r="V25" s="2">
        <v>-0.38064419283284628</v>
      </c>
      <c r="W25" s="2">
        <v>11.2500715270849</v>
      </c>
      <c r="X25" s="2">
        <v>-9.9352481706619038</v>
      </c>
      <c r="Y25" s="2">
        <v>5.423252279955193</v>
      </c>
      <c r="Z25" s="2">
        <v>-1.3675140456524959</v>
      </c>
      <c r="AA25" s="2">
        <v>11.894710208603019</v>
      </c>
      <c r="AB25" s="2">
        <v>1.934447412390927</v>
      </c>
      <c r="AC25" s="2">
        <v>-12.48247601052106</v>
      </c>
      <c r="AD25" s="2">
        <v>-0.36859942036802101</v>
      </c>
      <c r="AE25" s="2">
        <v>-3.961520422269293</v>
      </c>
      <c r="AF25" s="2">
        <v>-1.3985363051952859</v>
      </c>
      <c r="AG25" s="2">
        <v>-0.2254838921590285</v>
      </c>
      <c r="AH25" s="2">
        <v>-4.4614033743165082</v>
      </c>
      <c r="AI25" s="2">
        <v>3.7797747751794342</v>
      </c>
      <c r="AJ25" s="2">
        <v>-0.45581898864952558</v>
      </c>
      <c r="AK25" s="2">
        <v>-1.7345248122138559</v>
      </c>
    </row>
    <row r="26" spans="1:37" x14ac:dyDescent="0.25">
      <c r="A26" t="s">
        <v>81</v>
      </c>
      <c r="B26" s="2">
        <v>-4.6099092713293821</v>
      </c>
      <c r="C26" s="2">
        <v>4.969548449995953</v>
      </c>
      <c r="D26" s="2">
        <v>3.8456522253980112</v>
      </c>
      <c r="E26" s="2">
        <v>-2.7101476809715641</v>
      </c>
      <c r="F26" s="2">
        <v>-0.35293695143122639</v>
      </c>
      <c r="G26" s="2">
        <v>1.1329514564529131</v>
      </c>
      <c r="H26" s="2">
        <v>2.0479716397909349</v>
      </c>
      <c r="I26" s="2">
        <v>3.3971760660306942</v>
      </c>
      <c r="J26" s="2">
        <v>0.76228289987902986</v>
      </c>
      <c r="K26" s="2">
        <v>0.451437852429315</v>
      </c>
      <c r="L26" s="2">
        <v>1.6289669854708371</v>
      </c>
      <c r="M26" s="2">
        <v>1.8823220604627711</v>
      </c>
      <c r="N26" s="2">
        <v>0.75835938494046573</v>
      </c>
      <c r="O26" s="2">
        <v>0.93857356145266024</v>
      </c>
      <c r="P26" s="2">
        <v>4.3357648803453053</v>
      </c>
      <c r="Q26" s="2">
        <v>0.69971054233226582</v>
      </c>
      <c r="R26" s="2">
        <v>1.696186630393526</v>
      </c>
      <c r="S26" s="2">
        <v>2.486984987807372</v>
      </c>
      <c r="T26" s="2">
        <v>2.5014202960224718</v>
      </c>
      <c r="U26" s="2">
        <v>1.503713003747609</v>
      </c>
      <c r="V26" s="2">
        <v>2.5059724656140809</v>
      </c>
      <c r="W26" s="2">
        <v>-2.9022195060930289</v>
      </c>
      <c r="X26" s="2">
        <v>4.0533898221912326</v>
      </c>
      <c r="Y26" s="2">
        <v>-4.0682637409887974</v>
      </c>
      <c r="Z26" s="2">
        <v>1.1616891768885249</v>
      </c>
      <c r="AA26" s="2">
        <v>-0.4764718399262402</v>
      </c>
      <c r="AB26" s="2">
        <v>0.1486790877972988</v>
      </c>
      <c r="AC26" s="2">
        <v>-1.5742625426857</v>
      </c>
      <c r="AD26" s="2">
        <v>0.89099669153720473</v>
      </c>
      <c r="AE26" s="2">
        <v>0.24351336137062859</v>
      </c>
      <c r="AF26" s="2">
        <v>4.1886256111124398</v>
      </c>
      <c r="AG26" s="2">
        <v>-0.88405800378702493</v>
      </c>
      <c r="AH26" s="2">
        <v>-2.0387676974887969</v>
      </c>
      <c r="AI26" s="2">
        <v>0.34109951804115468</v>
      </c>
      <c r="AJ26" s="2">
        <v>0.64505294245116307</v>
      </c>
      <c r="AK26" s="2">
        <v>4.1193924761676604</v>
      </c>
    </row>
    <row r="27" spans="1:37" x14ac:dyDescent="0.25">
      <c r="A27" t="s">
        <v>82</v>
      </c>
      <c r="B27" s="2">
        <v>12.78860108113995</v>
      </c>
      <c r="C27" s="2">
        <v>-3.379710007136882</v>
      </c>
      <c r="D27" s="2">
        <v>2.4312756620304081</v>
      </c>
      <c r="E27" s="2">
        <v>-13.63622125011779</v>
      </c>
      <c r="F27" s="2">
        <v>1.6507191979681981</v>
      </c>
      <c r="G27" s="2">
        <v>2.8839504982332231</v>
      </c>
      <c r="H27" s="2">
        <v>-9.3272709125680198E-2</v>
      </c>
      <c r="I27" s="2">
        <v>5.566064708199514</v>
      </c>
      <c r="J27" s="2">
        <v>3.4666731170160499</v>
      </c>
      <c r="K27" s="2">
        <v>0.81940909792230787</v>
      </c>
      <c r="L27" s="2">
        <v>-0.54044233172877432</v>
      </c>
      <c r="M27" s="2">
        <v>4.6000303145880217</v>
      </c>
      <c r="N27" s="2">
        <v>1.2185260284301109</v>
      </c>
      <c r="O27" s="2">
        <v>0.29083904379134662</v>
      </c>
      <c r="P27" s="2">
        <v>2.5596714198147459</v>
      </c>
      <c r="Q27" s="2">
        <v>-0.80824842518202322</v>
      </c>
      <c r="R27" s="2">
        <v>2.9138834387829831</v>
      </c>
      <c r="S27" s="2">
        <v>1.343278731404163</v>
      </c>
      <c r="T27" s="2">
        <v>3.3829909499794248</v>
      </c>
      <c r="U27" s="2">
        <v>1.838697371128339</v>
      </c>
      <c r="V27" s="2">
        <v>-0.12788679532874661</v>
      </c>
      <c r="W27" s="2">
        <v>0.36473341353109312</v>
      </c>
      <c r="X27" s="2">
        <v>2.2122985130649249</v>
      </c>
      <c r="Y27" s="2">
        <v>0.53275652623234748</v>
      </c>
      <c r="Z27" s="2">
        <v>0.1076654299759339</v>
      </c>
      <c r="AA27" s="2">
        <v>-0.38718725580553232</v>
      </c>
      <c r="AB27" s="2">
        <v>-0.28882548106340389</v>
      </c>
      <c r="AC27" s="2">
        <v>-0.85137536152143367</v>
      </c>
      <c r="AD27" s="2">
        <v>-0.36502733549235172</v>
      </c>
      <c r="AE27" s="2">
        <v>0.31832253875647698</v>
      </c>
      <c r="AF27" s="2">
        <v>-1.8868929094353231</v>
      </c>
      <c r="AG27" s="2">
        <v>-3.1190324545424031</v>
      </c>
      <c r="AH27" s="2">
        <v>-1.8826888477330721</v>
      </c>
      <c r="AI27" s="2">
        <v>2.447545727825839</v>
      </c>
      <c r="AJ27" s="2">
        <v>2.4035971387156518</v>
      </c>
      <c r="AK27" s="2">
        <v>0.81336094808237558</v>
      </c>
    </row>
    <row r="28" spans="1:37" x14ac:dyDescent="0.25">
      <c r="A28" t="s">
        <v>83</v>
      </c>
      <c r="B28" s="2">
        <v>-5.376100999041034</v>
      </c>
      <c r="C28" s="2">
        <v>0.1158687947458992</v>
      </c>
      <c r="D28" s="2">
        <v>-2.9531799723533152</v>
      </c>
      <c r="E28" s="2">
        <v>14.52357127777333</v>
      </c>
      <c r="F28" s="2">
        <v>2.8980760786003761</v>
      </c>
      <c r="G28" s="2">
        <v>8.0872190054960704</v>
      </c>
      <c r="H28" s="2">
        <v>1.451615809135087</v>
      </c>
      <c r="I28" s="2">
        <v>5.3494241604470583</v>
      </c>
      <c r="J28" s="2">
        <v>1.8874419642299189</v>
      </c>
      <c r="K28" s="2">
        <v>-0.22949639450239309</v>
      </c>
      <c r="L28" s="2">
        <v>0.88121046413796034</v>
      </c>
      <c r="M28" s="2">
        <v>2.5141108984367171</v>
      </c>
      <c r="N28" s="2">
        <v>3.8909828130867958</v>
      </c>
      <c r="O28" s="2">
        <v>1.3067069184741209</v>
      </c>
      <c r="P28" s="2">
        <v>-1.0546111216509391</v>
      </c>
      <c r="Q28" s="2">
        <v>2.3538487566388659</v>
      </c>
      <c r="R28" s="2">
        <v>1.4822842694923071</v>
      </c>
      <c r="S28" s="2">
        <v>1.6481561721870319</v>
      </c>
      <c r="T28" s="2">
        <v>5.9911456485177039</v>
      </c>
      <c r="U28" s="2">
        <v>-6.2774991409857979</v>
      </c>
      <c r="V28" s="2">
        <v>2.9748545472350951</v>
      </c>
      <c r="W28" s="2">
        <v>1.2155450384131019</v>
      </c>
      <c r="X28" s="2">
        <v>1.241518577201739</v>
      </c>
      <c r="Y28" s="2">
        <v>-0.93187695072995957</v>
      </c>
      <c r="Z28" s="2">
        <v>-0.36521221534897558</v>
      </c>
      <c r="AA28" s="2">
        <v>1.1789217765594939</v>
      </c>
      <c r="AB28" s="2">
        <v>0.26006366209831988</v>
      </c>
      <c r="AC28" s="2">
        <v>-0.91835158883111223</v>
      </c>
      <c r="AD28" s="2">
        <v>0.35526462242283507</v>
      </c>
      <c r="AE28" s="2">
        <v>-0.70900287519656269</v>
      </c>
      <c r="AF28" s="2">
        <v>2.3297369104863912</v>
      </c>
      <c r="AG28" s="2">
        <v>-9.5070278542798476</v>
      </c>
      <c r="AH28" s="2">
        <v>2.4068277333915589</v>
      </c>
      <c r="AI28" s="2">
        <v>-3.2182924709603489</v>
      </c>
      <c r="AJ28" s="2">
        <v>0.43539448514637868</v>
      </c>
      <c r="AK28" s="2">
        <v>2.0234792048956511</v>
      </c>
    </row>
    <row r="29" spans="1:37" x14ac:dyDescent="0.25">
      <c r="A29" s="4" t="s">
        <v>86</v>
      </c>
      <c r="B29" s="5">
        <f>+SUMPRODUCT(Sheet1!B18:B28,weight_district!$C$2:$C$12)</f>
        <v>2.3365069288910716</v>
      </c>
      <c r="C29" s="5">
        <f>+SUMPRODUCT(Sheet1!C18:C28,weight_district!$C$2:$C$12)</f>
        <v>1.0124675604807603</v>
      </c>
      <c r="D29" s="5">
        <f>+SUMPRODUCT(Sheet1!D18:D28,weight_district!$C$2:$C$12)</f>
        <v>4.157626028329009</v>
      </c>
      <c r="E29" s="5">
        <f>+SUMPRODUCT(Sheet1!E18:E28,weight_district!$C$2:$C$12)</f>
        <v>3.4391709910187966</v>
      </c>
      <c r="F29" s="5">
        <f>+SUMPRODUCT(Sheet1!F18:F28,weight_district!$C$2:$C$12)</f>
        <v>1.4870990447732524</v>
      </c>
      <c r="G29" s="5">
        <f>+SUMPRODUCT(Sheet1!G18:G28,weight_district!$C$2:$C$12)</f>
        <v>2.9590795527030398</v>
      </c>
      <c r="H29" s="5">
        <f>+SUMPRODUCT(Sheet1!H18:H28,weight_district!$C$2:$C$12)</f>
        <v>2.1738915701264592</v>
      </c>
      <c r="I29" s="5">
        <f>+SUMPRODUCT(Sheet1!I18:I28,weight_district!$C$2:$C$12)</f>
        <v>4.8797085886647942</v>
      </c>
      <c r="J29" s="5">
        <f>+SUMPRODUCT(Sheet1!J18:J28,weight_district!$C$2:$C$12)</f>
        <v>1.3056398834080636</v>
      </c>
      <c r="K29" s="5">
        <f>+SUMPRODUCT(Sheet1!K18:K28,weight_district!$C$2:$C$12)</f>
        <v>-0.28974001213535633</v>
      </c>
      <c r="L29" s="5">
        <f>+SUMPRODUCT(Sheet1!L18:L28,weight_district!$C$2:$C$12)</f>
        <v>2.4103591366805688</v>
      </c>
      <c r="M29" s="5">
        <f>+SUMPRODUCT(Sheet1!M18:M28,weight_district!$C$2:$C$12)</f>
        <v>2.9130814745851312</v>
      </c>
      <c r="N29" s="5">
        <f>+SUMPRODUCT(Sheet1!N18:N28,weight_district!$C$2:$C$12)</f>
        <v>1.8765294558222285</v>
      </c>
      <c r="O29" s="5">
        <f>+SUMPRODUCT(Sheet1!O18:O28,weight_district!$C$2:$C$12)</f>
        <v>1.575105386250427</v>
      </c>
      <c r="P29" s="5">
        <f>+SUMPRODUCT(Sheet1!P18:P28,weight_district!$C$2:$C$12)</f>
        <v>1.8750580992339692</v>
      </c>
      <c r="Q29" s="5">
        <f>+SUMPRODUCT(Sheet1!Q18:Q28,weight_district!$C$2:$C$12)</f>
        <v>1.1257970313953374</v>
      </c>
      <c r="R29" s="5">
        <f>+SUMPRODUCT(Sheet1!R18:R28,weight_district!$C$2:$C$12)</f>
        <v>1.5182517345511208</v>
      </c>
      <c r="S29" s="5">
        <f>+SUMPRODUCT(Sheet1!S18:S28,weight_district!$C$2:$C$12)</f>
        <v>2.232954879340427</v>
      </c>
      <c r="T29" s="5">
        <f>+SUMPRODUCT(Sheet1!T18:T28,weight_district!$C$2:$C$12)</f>
        <v>3.3533243937656954</v>
      </c>
      <c r="U29" s="5">
        <f>+SUMPRODUCT(Sheet1!U18:U28,weight_district!$C$2:$C$12)</f>
        <v>-1.5775403113940833</v>
      </c>
      <c r="V29" s="5">
        <f>+SUMPRODUCT(Sheet1!V18:V28,weight_district!$C$2:$C$12)</f>
        <v>1.2002233568192699</v>
      </c>
      <c r="W29" s="5">
        <f>+SUMPRODUCT(Sheet1!W18:W28,weight_district!$C$2:$C$12)</f>
        <v>0.39913895813292954</v>
      </c>
      <c r="X29" s="5">
        <f>+SUMPRODUCT(Sheet1!X18:X28,weight_district!$C$2:$C$12)</f>
        <v>1.7940841599150328</v>
      </c>
      <c r="Y29" s="5">
        <f>+SUMPRODUCT(Sheet1!Y18:Y28,weight_district!$C$2:$C$12)</f>
        <v>-0.2252467657855671</v>
      </c>
      <c r="Z29" s="5">
        <f>+SUMPRODUCT(Sheet1!Z18:Z28,weight_district!$C$2:$C$12)</f>
        <v>0.23439842591760132</v>
      </c>
      <c r="AA29" s="5">
        <f>+SUMPRODUCT(Sheet1!AA18:AA28,weight_district!$C$2:$C$12)</f>
        <v>0.57896705670052473</v>
      </c>
      <c r="AB29" s="5">
        <f>+SUMPRODUCT(Sheet1!AB18:AB28,weight_district!$C$2:$C$12)</f>
        <v>-0.31837089235214111</v>
      </c>
      <c r="AC29" s="5">
        <f>+SUMPRODUCT(Sheet1!AC18:AC28,weight_district!$C$2:$C$12)</f>
        <v>-0.97313274871228117</v>
      </c>
      <c r="AD29" s="5">
        <f>+SUMPRODUCT(Sheet1!AD18:AD28,weight_district!$C$2:$C$12)</f>
        <v>-0.67010266658668594</v>
      </c>
      <c r="AE29" s="5">
        <f>+SUMPRODUCT(Sheet1!AE18:AE28,weight_district!$C$2:$C$12)</f>
        <v>-0.28240475976773011</v>
      </c>
      <c r="AF29" s="5">
        <f>+SUMPRODUCT(Sheet1!AF18:AF28,weight_district!$C$2:$C$12)</f>
        <v>0.83243778527977508</v>
      </c>
      <c r="AG29" s="5">
        <f>+SUMPRODUCT(Sheet1!AG18:AG28,weight_district!$C$2:$C$12)</f>
        <v>-2.6050227197859823</v>
      </c>
      <c r="AH29" s="5">
        <f>+SUMPRODUCT(Sheet1!AH18:AH28,weight_district!$C$2:$C$12)</f>
        <v>-2.0305394599460769</v>
      </c>
      <c r="AI29" s="5">
        <f>+SUMPRODUCT(Sheet1!AI18:AI28,weight_district!$C$2:$C$12)</f>
        <v>-0.80449932399464408</v>
      </c>
      <c r="AJ29" s="5">
        <f>+SUMPRODUCT(Sheet1!AJ18:AJ28,weight_district!$C$2:$C$12)</f>
        <v>0.4965601265834983</v>
      </c>
      <c r="AK29" s="5">
        <f>+SUMPRODUCT(Sheet1!AK18:AK28,weight_district!$C$2:$C$12)</f>
        <v>2.4835346601902653</v>
      </c>
    </row>
    <row r="30" spans="1:37" x14ac:dyDescent="0.25">
      <c r="A30">
        <v>100</v>
      </c>
      <c r="B30" s="7">
        <f>+A30*(1+B29/100)</f>
        <v>102.33650692889107</v>
      </c>
      <c r="C30" s="7">
        <f t="shared" ref="C30:AK30" si="1">+B30*(1+C29/100)</f>
        <v>103.37263086407525</v>
      </c>
      <c r="D30" s="7">
        <f t="shared" si="1"/>
        <v>107.67047827104851</v>
      </c>
      <c r="E30" s="7">
        <f t="shared" si="1"/>
        <v>111.37345012563762</v>
      </c>
      <c r="F30" s="7">
        <f t="shared" si="1"/>
        <v>113.02968363858697</v>
      </c>
      <c r="G30" s="7">
        <f t="shared" si="1"/>
        <v>116.37432189562135</v>
      </c>
      <c r="H30" s="7">
        <f t="shared" si="1"/>
        <v>118.90417346910209</v>
      </c>
      <c r="I30" s="7">
        <f t="shared" si="1"/>
        <v>124.70635063415476</v>
      </c>
      <c r="J30" s="7">
        <f t="shared" si="1"/>
        <v>126.33456648517698</v>
      </c>
      <c r="K30" s="7">
        <f t="shared" si="1"/>
        <v>125.96852469691169</v>
      </c>
      <c r="L30" s="7">
        <f t="shared" si="1"/>
        <v>129.00481854128543</v>
      </c>
      <c r="M30" s="7">
        <f t="shared" si="1"/>
        <v>132.76283401153378</v>
      </c>
      <c r="N30" s="7">
        <f t="shared" si="1"/>
        <v>135.25416769814458</v>
      </c>
      <c r="O30" s="7">
        <f t="shared" si="1"/>
        <v>137.38456337868624</v>
      </c>
      <c r="P30" s="7">
        <f t="shared" si="1"/>
        <v>139.96060376141551</v>
      </c>
      <c r="Q30" s="7">
        <f t="shared" si="1"/>
        <v>141.53627608368453</v>
      </c>
      <c r="R30" s="7">
        <f t="shared" si="1"/>
        <v>143.68515305034413</v>
      </c>
      <c r="S30" s="7">
        <f t="shared" si="1"/>
        <v>146.89357768626957</v>
      </c>
      <c r="T30" s="7">
        <f t="shared" si="1"/>
        <v>151.8193958596984</v>
      </c>
      <c r="U30" s="7">
        <f t="shared" si="1"/>
        <v>149.42438368949669</v>
      </c>
      <c r="V30" s="7">
        <f t="shared" si="1"/>
        <v>151.21781004332126</v>
      </c>
      <c r="W30" s="7">
        <f t="shared" si="1"/>
        <v>151.82137923483961</v>
      </c>
      <c r="X30" s="7">
        <f t="shared" si="1"/>
        <v>154.54518255105643</v>
      </c>
      <c r="Y30" s="7">
        <f t="shared" si="1"/>
        <v>154.19707452568278</v>
      </c>
      <c r="Z30" s="7">
        <f t="shared" si="1"/>
        <v>154.55851004118196</v>
      </c>
      <c r="AA30" s="7">
        <f t="shared" si="1"/>
        <v>155.45335289764759</v>
      </c>
      <c r="AB30" s="7">
        <f t="shared" si="1"/>
        <v>154.95843467083603</v>
      </c>
      <c r="AC30" s="7">
        <f t="shared" si="1"/>
        <v>153.45048339616218</v>
      </c>
      <c r="AD30" s="7">
        <f t="shared" si="1"/>
        <v>152.42220761503435</v>
      </c>
      <c r="AE30" s="7">
        <f t="shared" si="1"/>
        <v>151.99176004578644</v>
      </c>
      <c r="AF30" s="7">
        <f t="shared" si="1"/>
        <v>153.25699688691932</v>
      </c>
      <c r="AG30" s="7">
        <f t="shared" si="1"/>
        <v>149.26461729835339</v>
      </c>
      <c r="AH30" s="7">
        <f t="shared" si="1"/>
        <v>146.23374034437282</v>
      </c>
      <c r="AI30" s="7">
        <f t="shared" si="1"/>
        <v>145.05729089185024</v>
      </c>
      <c r="AJ30" s="7">
        <f t="shared" si="1"/>
        <v>145.7775875591214</v>
      </c>
      <c r="AK30" s="7">
        <f t="shared" si="1"/>
        <v>149.39802447294139</v>
      </c>
    </row>
    <row r="31" spans="1:37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 s="4" customFormat="1" x14ac:dyDescent="0.25">
      <c r="A32" s="4" t="s">
        <v>87</v>
      </c>
      <c r="B32" s="8">
        <f>+B14*weight_market!$B$2+Sheet1!B29*weight_market!$B$3</f>
        <v>1.3507199417587696</v>
      </c>
      <c r="C32" s="8">
        <f>+C14*weight_market!$B$2+Sheet1!C29*weight_market!$B$3</f>
        <v>1.3158088387557756</v>
      </c>
      <c r="D32" s="8">
        <f>+D14*weight_market!$B$2+Sheet1!D29*weight_market!$B$3</f>
        <v>2.3374405098519375</v>
      </c>
      <c r="E32" s="8">
        <f>+E14*weight_market!$B$2+Sheet1!E29*weight_market!$B$3</f>
        <v>2.3105717218641617</v>
      </c>
      <c r="F32" s="8">
        <f>+F14*weight_market!$B$2+Sheet1!F29*weight_market!$B$3</f>
        <v>1.2090749048202283</v>
      </c>
      <c r="G32" s="8">
        <f>+G14*weight_market!$B$2+Sheet1!G29*weight_market!$B$3</f>
        <v>2.5992845590295373</v>
      </c>
      <c r="H32" s="8">
        <f>+H14*weight_market!$B$2+Sheet1!H29*weight_market!$B$3</f>
        <v>2.4155377008598529</v>
      </c>
      <c r="I32" s="8">
        <f>+I14*weight_market!$B$2+Sheet1!I29*weight_market!$B$3</f>
        <v>4.3859915225345656</v>
      </c>
      <c r="J32" s="8">
        <f>+J14*weight_market!$B$2+Sheet1!J29*weight_market!$B$3</f>
        <v>1.7833110039027811</v>
      </c>
      <c r="K32" s="8">
        <f>+K14*weight_market!$B$2+Sheet1!K29*weight_market!$B$3</f>
        <v>0.53851592935322168</v>
      </c>
      <c r="L32" s="8">
        <f>+L14*weight_market!$B$2+Sheet1!L29*weight_market!$B$3</f>
        <v>2.0172401967877205</v>
      </c>
      <c r="M32" s="8">
        <f>+M14*weight_market!$B$2+Sheet1!M29*weight_market!$B$3</f>
        <v>3.1365823129504067</v>
      </c>
      <c r="N32" s="8">
        <f>+N14*weight_market!$B$2+Sheet1!N29*weight_market!$B$3</f>
        <v>2.5727771546313849</v>
      </c>
      <c r="O32" s="8">
        <f>+O14*weight_market!$B$2+Sheet1!O29*weight_market!$B$3</f>
        <v>1.9878132823040673</v>
      </c>
      <c r="P32" s="8">
        <f>+P14*weight_market!$B$2+Sheet1!P29*weight_market!$B$3</f>
        <v>1.7845251948923746</v>
      </c>
      <c r="Q32" s="8">
        <f>+Q14*weight_market!$B$2+Sheet1!Q29*weight_market!$B$3</f>
        <v>0.94943982656434489</v>
      </c>
      <c r="R32" s="8">
        <f>+R14*weight_market!$B$2+Sheet1!R29*weight_market!$B$3</f>
        <v>1.7074287203481577</v>
      </c>
      <c r="S32" s="8">
        <f>+S14*weight_market!$B$2+Sheet1!S29*weight_market!$B$3</f>
        <v>1.7182921719742499</v>
      </c>
      <c r="T32" s="8">
        <f>+T14*weight_market!$B$2+Sheet1!T29*weight_market!$B$3</f>
        <v>1.5798300608373776</v>
      </c>
      <c r="U32" s="8">
        <f>+U14*weight_market!$B$2+Sheet1!U29*weight_market!$B$3</f>
        <v>0.66735179846930104</v>
      </c>
      <c r="V32" s="8">
        <f>+V14*weight_market!$B$2+Sheet1!V29*weight_market!$B$3</f>
        <v>1.0193912528578615</v>
      </c>
      <c r="W32" s="8">
        <f>+W14*weight_market!$B$2+Sheet1!W29*weight_market!$B$3</f>
        <v>0.20375442300344698</v>
      </c>
      <c r="X32" s="8">
        <f>+X14*weight_market!$B$2+Sheet1!X29*weight_market!$B$3</f>
        <v>1.3132256102558315</v>
      </c>
      <c r="Y32" s="8">
        <f>+Y14*weight_market!$B$2+Sheet1!Y29*weight_market!$B$3</f>
        <v>0.81076717173891399</v>
      </c>
      <c r="Z32" s="8">
        <f>+Z14*weight_market!$B$2+Sheet1!Z29*weight_market!$B$3</f>
        <v>8.8686721144170158E-2</v>
      </c>
      <c r="AA32" s="8">
        <f>+AA14*weight_market!$B$2+Sheet1!AA29*weight_market!$B$3</f>
        <v>0.39688606170125812</v>
      </c>
      <c r="AB32" s="8">
        <f>+AB14*weight_market!$B$2+Sheet1!AB29*weight_market!$B$3</f>
        <v>-0.54557096051872056</v>
      </c>
      <c r="AC32" s="8">
        <f>+AC14*weight_market!$B$2+Sheet1!AC29*weight_market!$B$3</f>
        <v>-1.0106821051927894</v>
      </c>
      <c r="AD32" s="8">
        <f>+AD14*weight_market!$B$2+Sheet1!AD29*weight_market!$B$3</f>
        <v>-0.77971926225519506</v>
      </c>
      <c r="AE32" s="8">
        <f>+AE14*weight_market!$B$2+Sheet1!AE29*weight_market!$B$3</f>
        <v>-0.56134691225005451</v>
      </c>
      <c r="AF32" s="8">
        <f>+AF14*weight_market!$B$2+Sheet1!AF29*weight_market!$B$3</f>
        <v>0.19973365384758113</v>
      </c>
      <c r="AG32" s="8">
        <f>+AG14*weight_market!$B$2+Sheet1!AG29*weight_market!$B$3</f>
        <v>-1.7708658660377161</v>
      </c>
      <c r="AH32" s="8">
        <f>+AH14*weight_market!$B$2+Sheet1!AH29*weight_market!$B$3</f>
        <v>-0.98804053368255074</v>
      </c>
      <c r="AI32" s="8">
        <f>+AI14*weight_market!$B$2+Sheet1!AI29*weight_market!$B$3</f>
        <v>-6.6120506975069437E-2</v>
      </c>
      <c r="AJ32" s="8">
        <f>+AJ14*weight_market!$B$2+Sheet1!AJ29*weight_market!$B$3</f>
        <v>-0.14517409173532422</v>
      </c>
      <c r="AK32" s="8">
        <f>+AK14*weight_market!$B$2+Sheet1!AK29*weight_market!$B$3</f>
        <v>0.81846181283727204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6086-58E7-4526-99AF-D70E912A8234}">
  <dimension ref="A1:C12"/>
  <sheetViews>
    <sheetView workbookViewId="0">
      <selection activeCell="C2" sqref="C2:C12"/>
    </sheetView>
  </sheetViews>
  <sheetFormatPr defaultRowHeight="15" x14ac:dyDescent="0.25"/>
  <cols>
    <col min="1" max="1" width="17.5703125" customWidth="1"/>
    <col min="2" max="2" width="15.28515625" customWidth="1"/>
    <col min="3" max="3" width="11.85546875" customWidth="1"/>
  </cols>
  <sheetData>
    <row r="1" spans="1:3" x14ac:dyDescent="0.25">
      <c r="B1" t="s">
        <v>84</v>
      </c>
      <c r="C1" t="s">
        <v>85</v>
      </c>
    </row>
    <row r="2" spans="1:3" x14ac:dyDescent="0.25">
      <c r="A2" t="s">
        <v>73</v>
      </c>
      <c r="B2">
        <v>1.3343871161188899E-2</v>
      </c>
      <c r="C2">
        <v>2.0751770976748501E-2</v>
      </c>
    </row>
    <row r="3" spans="1:3" x14ac:dyDescent="0.25">
      <c r="A3" t="s">
        <v>74</v>
      </c>
      <c r="B3">
        <v>0.10866268378370419</v>
      </c>
      <c r="C3">
        <v>6.2265568314963382E-2</v>
      </c>
    </row>
    <row r="4" spans="1:3" x14ac:dyDescent="0.25">
      <c r="A4" t="s">
        <v>75</v>
      </c>
      <c r="B4">
        <v>9.4499011212040851E-2</v>
      </c>
      <c r="C4">
        <v>0.1145577749917316</v>
      </c>
    </row>
    <row r="5" spans="1:3" x14ac:dyDescent="0.25">
      <c r="A5" t="s">
        <v>76</v>
      </c>
      <c r="B5">
        <v>0.1183079160232179</v>
      </c>
      <c r="C5">
        <v>0.1387220252333741</v>
      </c>
    </row>
    <row r="6" spans="1:3" x14ac:dyDescent="0.25">
      <c r="A6" t="s">
        <v>77</v>
      </c>
      <c r="B6">
        <v>9.0703313349590711E-2</v>
      </c>
      <c r="C6">
        <v>6.6388232971574632E-2</v>
      </c>
    </row>
    <row r="7" spans="1:3" x14ac:dyDescent="0.25">
      <c r="A7" t="s">
        <v>78</v>
      </c>
      <c r="B7">
        <v>9.2989398043915705E-2</v>
      </c>
      <c r="C7">
        <v>0.1146936588392443</v>
      </c>
    </row>
    <row r="8" spans="1:3" x14ac:dyDescent="0.25">
      <c r="A8" t="s">
        <v>79</v>
      </c>
      <c r="B8">
        <v>9.6166345158925345E-2</v>
      </c>
      <c r="C8">
        <v>9.4159814787751997E-2</v>
      </c>
    </row>
    <row r="9" spans="1:3" x14ac:dyDescent="0.25">
      <c r="A9" t="s">
        <v>80</v>
      </c>
      <c r="B9">
        <v>7.0492522128571905E-2</v>
      </c>
      <c r="C9">
        <v>1.3426862441960929E-2</v>
      </c>
    </row>
    <row r="10" spans="1:3" x14ac:dyDescent="0.25">
      <c r="A10" t="s">
        <v>81</v>
      </c>
      <c r="B10">
        <v>8.9746589504808752E-2</v>
      </c>
      <c r="C10">
        <v>0.1235773858511585</v>
      </c>
    </row>
    <row r="11" spans="1:3" x14ac:dyDescent="0.25">
      <c r="A11" t="s">
        <v>82</v>
      </c>
      <c r="B11">
        <v>0.1058895711901333</v>
      </c>
      <c r="C11">
        <v>0.12396709047044011</v>
      </c>
    </row>
    <row r="12" spans="1:3" x14ac:dyDescent="0.25">
      <c r="A12" t="s">
        <v>83</v>
      </c>
      <c r="B12">
        <v>0.1191987784439025</v>
      </c>
      <c r="C12">
        <v>0.12748981512105201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9633-E7E0-4256-BA7C-4DC04CC2F034}">
  <dimension ref="A2:B3"/>
  <sheetViews>
    <sheetView workbookViewId="0">
      <selection activeCell="B3" sqref="B3"/>
    </sheetView>
  </sheetViews>
  <sheetFormatPr defaultRowHeight="15" x14ac:dyDescent="0.25"/>
  <cols>
    <col min="1" max="1" width="10.85546875" customWidth="1"/>
  </cols>
  <sheetData>
    <row r="2" spans="1:2" x14ac:dyDescent="0.25">
      <c r="A2" t="s">
        <v>88</v>
      </c>
      <c r="B2">
        <v>0.59665000000000001</v>
      </c>
    </row>
    <row r="3" spans="1:2" x14ac:dyDescent="0.25">
      <c r="A3" t="s">
        <v>85</v>
      </c>
      <c r="B3">
        <f>1-B2</f>
        <v>0.40334999999999999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weight_district</vt:lpstr>
      <vt:lpstr>weight_market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Nozimjon Ortiqov</cp:lastModifiedBy>
  <dcterms:created xsi:type="dcterms:W3CDTF">2025-03-10T10:05:20Z</dcterms:created>
  <dcterms:modified xsi:type="dcterms:W3CDTF">2025-03-11T10:05:43Z</dcterms:modified>
</cp:coreProperties>
</file>